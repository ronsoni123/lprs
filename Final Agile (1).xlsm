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hubham91.trn\Desktop\"/>
    </mc:Choice>
  </mc:AlternateContent>
  <bookViews>
    <workbookView xWindow="0" yWindow="0" windowWidth="20490" windowHeight="7755" tabRatio="775" firstSheet="3" activeTab="8"/>
  </bookViews>
  <sheets>
    <sheet name="DashBoard" sheetId="31" r:id="rId1"/>
    <sheet name="Product Backlog" sheetId="52" r:id="rId2"/>
    <sheet name="Reference Data" sheetId="14" r:id="rId3"/>
    <sheet name="Capacity Planning" sheetId="54" r:id="rId4"/>
    <sheet name="Sprint I Backlog" sheetId="48" r:id="rId5"/>
    <sheet name="Sprint II Backlog" sheetId="49" r:id="rId6"/>
    <sheet name="Stand up Meeting" sheetId="50" r:id="rId7"/>
    <sheet name="Retrospection" sheetId="34" r:id="rId8"/>
    <sheet name="Product Backlog Grooming" sheetId="51" r:id="rId9"/>
  </sheets>
  <definedNames>
    <definedName name="_xlnm._FilterDatabase" localSheetId="4" hidden="1">'Sprint I Backlog'!$A$2:$L$5</definedName>
    <definedName name="actual" localSheetId="4">'Sprint I Backlog'!#REF!</definedName>
    <definedName name="actual">'Sprint I Backlog'!#REF!</definedName>
    <definedName name="Build">"1,2,3"</definedName>
    <definedName name="BusinessValue">'Reference Data'!#REF!</definedName>
    <definedName name="Category">OFFSET('Reference Data'!#REF!,0,0,COUNTA('Reference Data'!#REF!),1)</definedName>
    <definedName name="Priority">'Reference Data'!#REF!</definedName>
    <definedName name="Recommendation">OFFSET('Reference Data'!#REF!,0,0,COUNTA('Reference Data'!#REF!),1)</definedName>
    <definedName name="Risk">'Reference Data'!#REF!</definedName>
    <definedName name="Sprint_Length">'Reference Data'!#REF!</definedName>
    <definedName name="Sprint_Start">'Reference Data'!#REF!</definedName>
    <definedName name="Status">'Reference Data'!#REF!</definedName>
    <definedName name="Team">OFFSET('Reference Data'!#REF!,0,0,COUNTA('Reference Data'!#REF!),1)</definedName>
    <definedName name="Type">'Reference Data'!#REF!</definedName>
  </definedNames>
  <calcPr calcId="152511" calcMode="manual"/>
</workbook>
</file>

<file path=xl/calcChain.xml><?xml version="1.0" encoding="utf-8"?>
<calcChain xmlns="http://schemas.openxmlformats.org/spreadsheetml/2006/main">
  <c r="H13" i="54" l="1"/>
  <c r="J18" i="14"/>
  <c r="J15" i="14"/>
  <c r="J14" i="14"/>
  <c r="J3" i="49"/>
  <c r="J6" i="14" s="1"/>
  <c r="M3" i="31"/>
  <c r="W3" i="49"/>
  <c r="J19" i="14"/>
  <c r="V3" i="49"/>
  <c r="U3" i="49"/>
  <c r="J17" i="14"/>
  <c r="T3" i="49"/>
  <c r="J16" i="14"/>
  <c r="S3" i="49"/>
  <c r="R3" i="49"/>
  <c r="Q3" i="49"/>
  <c r="J13" i="14" s="1"/>
  <c r="P3" i="49"/>
  <c r="J12" i="14" s="1"/>
  <c r="O3" i="49"/>
  <c r="J11" i="14" s="1"/>
  <c r="N3" i="49"/>
  <c r="J10" i="14" s="1"/>
  <c r="M3" i="49"/>
  <c r="J9" i="14" s="1"/>
  <c r="L3" i="49"/>
  <c r="J8" i="14" s="1"/>
  <c r="K3" i="49"/>
  <c r="J7" i="14" s="1"/>
  <c r="I3" i="49"/>
  <c r="I5" i="14" s="1"/>
  <c r="W3" i="48"/>
  <c r="E19" i="14" s="1"/>
  <c r="V3" i="48"/>
  <c r="E18" i="14" s="1"/>
  <c r="U3" i="48"/>
  <c r="E17" i="14" s="1"/>
  <c r="T3" i="48"/>
  <c r="E16" i="14" s="1"/>
  <c r="S3" i="48"/>
  <c r="E15" i="14" s="1"/>
  <c r="K3" i="48"/>
  <c r="E7" i="14" s="1"/>
  <c r="B3" i="31"/>
  <c r="I3" i="31"/>
  <c r="P3" i="31"/>
  <c r="N3" i="48"/>
  <c r="E10" i="14" s="1"/>
  <c r="O3" i="48"/>
  <c r="E11" i="14" s="1"/>
  <c r="P3" i="48"/>
  <c r="E12" i="14" s="1"/>
  <c r="Q3" i="48"/>
  <c r="E13" i="14" s="1"/>
  <c r="R3" i="48"/>
  <c r="E14" i="14" s="1"/>
  <c r="M3" i="48"/>
  <c r="E9" i="14" s="1"/>
  <c r="I3" i="48"/>
  <c r="D5" i="14" s="1"/>
  <c r="J3" i="48"/>
  <c r="E6" i="14" s="1"/>
  <c r="L3" i="48"/>
  <c r="E8" i="14" s="1"/>
  <c r="J5" i="14" l="1"/>
  <c r="I6" i="14"/>
  <c r="I7" i="14" s="1"/>
  <c r="I8" i="14" s="1"/>
  <c r="I9" i="14" s="1"/>
  <c r="I10" i="14" s="1"/>
  <c r="I11" i="14" s="1"/>
  <c r="I12" i="14" s="1"/>
  <c r="I13" i="14" s="1"/>
  <c r="I14" i="14" s="1"/>
  <c r="I15" i="14" s="1"/>
  <c r="I16" i="14" s="1"/>
  <c r="I17" i="14" s="1"/>
  <c r="I18" i="14" s="1"/>
  <c r="I19" i="14" s="1"/>
  <c r="D6" i="14"/>
  <c r="D7" i="14" s="1"/>
  <c r="D8" i="14" s="1"/>
  <c r="D9" i="14" s="1"/>
  <c r="D10" i="14" s="1"/>
  <c r="D11" i="14" s="1"/>
  <c r="D12" i="14" s="1"/>
  <c r="D13" i="14" s="1"/>
  <c r="D14" i="14" s="1"/>
  <c r="D15" i="14" s="1"/>
  <c r="D16" i="14" s="1"/>
  <c r="D17" i="14" s="1"/>
  <c r="D18" i="14" s="1"/>
  <c r="D19" i="14" s="1"/>
  <c r="E5" i="14"/>
</calcChain>
</file>

<file path=xl/comments1.xml><?xml version="1.0" encoding="utf-8"?>
<comments xmlns="http://schemas.openxmlformats.org/spreadsheetml/2006/main">
  <authors>
    <author>Author</author>
  </authors>
  <commentList>
    <comment ref="E1" authorId="0" shapeId="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authors>
    <author>Sumeet Kumar Barua08</author>
  </authors>
  <commentList>
    <comment ref="E6" authorId="0" shapeId="0">
      <text>
        <r>
          <rPr>
            <sz val="9"/>
            <color indexed="81"/>
            <rFont val="Tahoma"/>
            <family val="2"/>
          </rPr>
          <t>Effort hours pending after day 1 of sprint 1</t>
        </r>
      </text>
    </comment>
    <comment ref="J6" authorId="0" shapeId="0">
      <text>
        <r>
          <rPr>
            <sz val="9"/>
            <color indexed="81"/>
            <rFont val="Tahoma"/>
            <family val="2"/>
          </rPr>
          <t>Effort hours pending after day 1 of sprint 1</t>
        </r>
      </text>
    </comment>
    <comment ref="E7" authorId="0" shapeId="0">
      <text>
        <r>
          <rPr>
            <sz val="9"/>
            <color indexed="81"/>
            <rFont val="Tahoma"/>
            <family val="2"/>
          </rPr>
          <t>Effort hours pending after day 2 of sprint 1</t>
        </r>
      </text>
    </comment>
    <comment ref="J7" authorId="0" shapeId="0">
      <text>
        <r>
          <rPr>
            <sz val="9"/>
            <color indexed="81"/>
            <rFont val="Tahoma"/>
            <family val="2"/>
          </rPr>
          <t>Effort hours pending after day 2 of sprint 1</t>
        </r>
      </text>
    </comment>
  </commentList>
</comments>
</file>

<file path=xl/comments3.xml><?xml version="1.0" encoding="utf-8"?>
<comments xmlns="http://schemas.openxmlformats.org/spreadsheetml/2006/main">
  <authors>
    <author>Sumeet Kumar Barua08</author>
  </authors>
  <commentList>
    <comment ref="B17" authorId="0" shapeId="0">
      <text>
        <r>
          <rPr>
            <sz val="9"/>
            <color indexed="81"/>
            <rFont val="Tahoma"/>
            <family val="2"/>
          </rPr>
          <t xml:space="preserve">should be entered as number of hours taken for ceremonies per team member 
</t>
        </r>
      </text>
    </comment>
    <comment ref="D17" authorId="0" shapeId="0">
      <text>
        <r>
          <rPr>
            <sz val="9"/>
            <color indexed="81"/>
            <rFont val="Tahoma"/>
            <family val="2"/>
          </rPr>
          <t xml:space="preserve">Enter what percentage of buffer time is required by the team
</t>
        </r>
      </text>
    </comment>
    <comment ref="O17" authorId="0" shapeId="0">
      <text>
        <r>
          <rPr>
            <sz val="9"/>
            <color indexed="81"/>
            <rFont val="Tahoma"/>
            <family val="2"/>
          </rPr>
          <t xml:space="preserve">should be entered as number of hours taken for ceremonies per team member 
</t>
        </r>
      </text>
    </comment>
    <comment ref="Q17" authorId="0" shapeId="0">
      <text>
        <r>
          <rPr>
            <sz val="9"/>
            <color indexed="81"/>
            <rFont val="Tahoma"/>
            <family val="2"/>
          </rPr>
          <t xml:space="preserve">Enter what percentage of buffer time is required by the team
</t>
        </r>
      </text>
    </comment>
  </commentList>
</comments>
</file>

<file path=xl/comments4.xml><?xml version="1.0" encoding="utf-8"?>
<comments xmlns="http://schemas.openxmlformats.org/spreadsheetml/2006/main">
  <authors>
    <author>Sumeet Kumar Barua08</author>
  </authors>
  <commentList>
    <comment ref="D2" authorId="0" shapeId="0">
      <text>
        <r>
          <rPr>
            <sz val="9"/>
            <color indexed="81"/>
            <rFont val="Tahoma"/>
            <family val="2"/>
          </rPr>
          <t>Please enter the dates in either of these formats: 
9/15/2016  or
15-Sep-2016</t>
        </r>
      </text>
    </comment>
    <comment ref="E2" authorId="0" shapeId="0">
      <text>
        <r>
          <rPr>
            <sz val="9"/>
            <color indexed="81"/>
            <rFont val="Tahoma"/>
            <family val="2"/>
          </rPr>
          <t xml:space="preserve">Please enter the dates in either of these formats: 
9/15/2016  or
15-Sep-2016
</t>
        </r>
      </text>
    </comment>
    <comment ref="I3" authorId="0" shapeId="0">
      <text>
        <r>
          <rPr>
            <sz val="9"/>
            <color indexed="81"/>
            <rFont val="Tahoma"/>
            <family val="2"/>
          </rPr>
          <t xml:space="preserve">This is the total task estimated in hours for all the user stories </t>
        </r>
      </text>
    </comment>
    <comment ref="J3" authorId="0" shapeId="0">
      <text>
        <r>
          <rPr>
            <sz val="9"/>
            <color indexed="81"/>
            <rFont val="Tahoma"/>
            <family val="2"/>
          </rPr>
          <t xml:space="preserve">Pending effort hours after completion of day 1 work
</t>
        </r>
      </text>
    </comment>
    <comment ref="K3" authorId="0" shapeId="0">
      <text>
        <r>
          <rPr>
            <sz val="9"/>
            <color indexed="81"/>
            <rFont val="Tahoma"/>
            <family val="2"/>
          </rPr>
          <t>Pending effort hours after completion of day 2 work</t>
        </r>
      </text>
    </comment>
    <comment ref="L3" authorId="0" shapeId="0">
      <text>
        <r>
          <rPr>
            <sz val="9"/>
            <color indexed="81"/>
            <rFont val="Tahoma"/>
            <family val="2"/>
          </rPr>
          <t>Pending effort hours after completion of day 3 work</t>
        </r>
      </text>
    </comment>
    <comment ref="M3" authorId="0" shapeId="0">
      <text>
        <r>
          <rPr>
            <sz val="9"/>
            <color indexed="81"/>
            <rFont val="Tahoma"/>
            <family val="2"/>
          </rPr>
          <t>Pending effort hours after completion of day 4 work</t>
        </r>
        <r>
          <rPr>
            <sz val="9"/>
            <color indexed="81"/>
            <rFont val="Tahoma"/>
            <family val="2"/>
          </rPr>
          <t xml:space="preserve">
</t>
        </r>
      </text>
    </comment>
    <comment ref="N3" authorId="0" shapeId="0">
      <text>
        <r>
          <rPr>
            <sz val="9"/>
            <color indexed="81"/>
            <rFont val="Tahoma"/>
            <family val="2"/>
          </rPr>
          <t xml:space="preserve">Pending effort hours after completion of day 5 work
</t>
        </r>
      </text>
    </comment>
    <comment ref="O3" authorId="0" shapeId="0">
      <text>
        <r>
          <rPr>
            <sz val="9"/>
            <color indexed="81"/>
            <rFont val="Tahoma"/>
            <family val="2"/>
          </rPr>
          <t xml:space="preserve">Pending effort hours after completion of day 6 work
</t>
        </r>
      </text>
    </comment>
    <comment ref="P3" authorId="0" shapeId="0">
      <text>
        <r>
          <rPr>
            <sz val="9"/>
            <color indexed="81"/>
            <rFont val="Tahoma"/>
            <family val="2"/>
          </rPr>
          <t>Pending effort hours after completion of day 7 work</t>
        </r>
      </text>
    </comment>
    <comment ref="Q3" authorId="0" shapeId="0">
      <text>
        <r>
          <rPr>
            <sz val="9"/>
            <color indexed="81"/>
            <rFont val="Tahoma"/>
            <family val="2"/>
          </rPr>
          <t xml:space="preserve">Pending effort hours after completion of day 8 work
</t>
        </r>
      </text>
    </comment>
    <comment ref="R3" authorId="0" shapeId="0">
      <text>
        <r>
          <rPr>
            <sz val="9"/>
            <color indexed="81"/>
            <rFont val="Tahoma"/>
            <family val="2"/>
          </rPr>
          <t xml:space="preserve">Pending effort hours after completion of day 9 work
</t>
        </r>
      </text>
    </comment>
    <comment ref="S3" authorId="0" shapeId="0">
      <text>
        <r>
          <rPr>
            <sz val="9"/>
            <color indexed="81"/>
            <rFont val="Tahoma"/>
            <family val="2"/>
          </rPr>
          <t xml:space="preserve">Pending effort hours after completion of day 10 work
</t>
        </r>
      </text>
    </comment>
    <comment ref="T3" authorId="0" shapeId="0">
      <text>
        <r>
          <rPr>
            <sz val="9"/>
            <color indexed="81"/>
            <rFont val="Tahoma"/>
            <family val="2"/>
          </rPr>
          <t xml:space="preserve">Pending effort hours after completion of day 11 work
</t>
        </r>
      </text>
    </comment>
    <comment ref="U3" authorId="0" shapeId="0">
      <text>
        <r>
          <rPr>
            <sz val="9"/>
            <color indexed="81"/>
            <rFont val="Tahoma"/>
            <family val="2"/>
          </rPr>
          <t xml:space="preserve">Pending effort hours after completion of day 12 work
</t>
        </r>
      </text>
    </comment>
    <comment ref="V3" authorId="0" shapeId="0">
      <text>
        <r>
          <rPr>
            <sz val="9"/>
            <color indexed="81"/>
            <rFont val="Tahoma"/>
            <family val="2"/>
          </rPr>
          <t xml:space="preserve">Pending effort hours after completion of day 13 work
</t>
        </r>
      </text>
    </comment>
    <comment ref="W3" authorId="0" shapeId="0">
      <text>
        <r>
          <rPr>
            <sz val="9"/>
            <color indexed="81"/>
            <rFont val="Tahoma"/>
            <family val="2"/>
          </rPr>
          <t xml:space="preserve">Pending effort hours after completion of day 14 work
</t>
        </r>
      </text>
    </comment>
  </commentList>
</comments>
</file>

<file path=xl/comments5.xml><?xml version="1.0" encoding="utf-8"?>
<comments xmlns="http://schemas.openxmlformats.org/spreadsheetml/2006/main">
  <authors>
    <author>Sumeet Kumar Barua08</author>
  </authors>
  <commentList>
    <comment ref="D2" authorId="0" shapeId="0">
      <text>
        <r>
          <rPr>
            <sz val="9"/>
            <color indexed="81"/>
            <rFont val="Tahoma"/>
            <family val="2"/>
          </rPr>
          <t>Please enter the dates in either of these formats: 
9/15/2016  or
15-Sep-2016</t>
        </r>
      </text>
    </comment>
    <comment ref="E2" authorId="0" shapeId="0">
      <text>
        <r>
          <rPr>
            <sz val="9"/>
            <color indexed="81"/>
            <rFont val="Tahoma"/>
            <family val="2"/>
          </rPr>
          <t xml:space="preserve">Please enter the dates in either of these formats: 
9/15/2016  or
15-Sep-2016
</t>
        </r>
      </text>
    </comment>
    <comment ref="I3" authorId="0" shapeId="0">
      <text>
        <r>
          <rPr>
            <sz val="9"/>
            <color indexed="81"/>
            <rFont val="Tahoma"/>
            <family val="2"/>
          </rPr>
          <t xml:space="preserve">This is the total task estimated in hours for all the user stories </t>
        </r>
      </text>
    </comment>
    <comment ref="J3" authorId="0" shapeId="0">
      <text>
        <r>
          <rPr>
            <sz val="9"/>
            <color indexed="81"/>
            <rFont val="Tahoma"/>
            <family val="2"/>
          </rPr>
          <t xml:space="preserve">Pending effort hours after completion of day 1 work
</t>
        </r>
      </text>
    </comment>
    <comment ref="K3" authorId="0" shapeId="0">
      <text>
        <r>
          <rPr>
            <sz val="9"/>
            <color indexed="81"/>
            <rFont val="Tahoma"/>
            <family val="2"/>
          </rPr>
          <t>Pending effort hours after completion of day 2 work</t>
        </r>
      </text>
    </comment>
    <comment ref="L3" authorId="0" shapeId="0">
      <text>
        <r>
          <rPr>
            <sz val="9"/>
            <color indexed="81"/>
            <rFont val="Tahoma"/>
            <family val="2"/>
          </rPr>
          <t>Pending effort hours after completion of day 3 work</t>
        </r>
      </text>
    </comment>
    <comment ref="M3" authorId="0" shapeId="0">
      <text>
        <r>
          <rPr>
            <sz val="9"/>
            <color indexed="81"/>
            <rFont val="Tahoma"/>
            <family val="2"/>
          </rPr>
          <t>Pending effort hours after completion of day 4 work</t>
        </r>
        <r>
          <rPr>
            <sz val="9"/>
            <color indexed="81"/>
            <rFont val="Tahoma"/>
            <family val="2"/>
          </rPr>
          <t xml:space="preserve">
</t>
        </r>
      </text>
    </comment>
    <comment ref="N3" authorId="0" shapeId="0">
      <text>
        <r>
          <rPr>
            <sz val="9"/>
            <color indexed="81"/>
            <rFont val="Tahoma"/>
            <family val="2"/>
          </rPr>
          <t xml:space="preserve">Pending effort hours after completion of day 5 work
</t>
        </r>
      </text>
    </comment>
    <comment ref="O3" authorId="0" shapeId="0">
      <text>
        <r>
          <rPr>
            <sz val="9"/>
            <color indexed="81"/>
            <rFont val="Tahoma"/>
            <family val="2"/>
          </rPr>
          <t xml:space="preserve">Pending effort hours after completion of day 6 work
</t>
        </r>
      </text>
    </comment>
    <comment ref="P3" authorId="0" shapeId="0">
      <text>
        <r>
          <rPr>
            <sz val="9"/>
            <color indexed="81"/>
            <rFont val="Tahoma"/>
            <family val="2"/>
          </rPr>
          <t>Pending effort hours after completion of day 7 work</t>
        </r>
      </text>
    </comment>
    <comment ref="Q3" authorId="0" shapeId="0">
      <text>
        <r>
          <rPr>
            <sz val="9"/>
            <color indexed="81"/>
            <rFont val="Tahoma"/>
            <family val="2"/>
          </rPr>
          <t xml:space="preserve">Pending effort hours after completion of day 8 work
</t>
        </r>
      </text>
    </comment>
    <comment ref="R3" authorId="0" shapeId="0">
      <text>
        <r>
          <rPr>
            <sz val="9"/>
            <color indexed="81"/>
            <rFont val="Tahoma"/>
            <family val="2"/>
          </rPr>
          <t xml:space="preserve">Pending effort hours after completion of day 9 work
</t>
        </r>
      </text>
    </comment>
    <comment ref="S3" authorId="0" shapeId="0">
      <text>
        <r>
          <rPr>
            <sz val="9"/>
            <color indexed="81"/>
            <rFont val="Tahoma"/>
            <family val="2"/>
          </rPr>
          <t xml:space="preserve">Pending effort hours after completion of day 10 work
</t>
        </r>
      </text>
    </comment>
    <comment ref="T3" authorId="0" shapeId="0">
      <text>
        <r>
          <rPr>
            <sz val="9"/>
            <color indexed="81"/>
            <rFont val="Tahoma"/>
            <family val="2"/>
          </rPr>
          <t xml:space="preserve">Pending effort hours after completion of day 11 work
</t>
        </r>
      </text>
    </comment>
    <comment ref="U3" authorId="0" shapeId="0">
      <text>
        <r>
          <rPr>
            <sz val="9"/>
            <color indexed="81"/>
            <rFont val="Tahoma"/>
            <family val="2"/>
          </rPr>
          <t xml:space="preserve">Pending effort hours after completion of day 12 work
</t>
        </r>
      </text>
    </comment>
    <comment ref="V3" authorId="0" shapeId="0">
      <text>
        <r>
          <rPr>
            <sz val="9"/>
            <color indexed="81"/>
            <rFont val="Tahoma"/>
            <family val="2"/>
          </rPr>
          <t xml:space="preserve">Pending effort hours after completion of day 13 work
</t>
        </r>
      </text>
    </comment>
    <comment ref="W3" authorId="0" shapeId="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<sst xmlns="http://schemas.openxmlformats.org/spreadsheetml/2006/main" count="543" uniqueCount="223">
  <si>
    <t>Status</t>
  </si>
  <si>
    <t>US ID</t>
  </si>
  <si>
    <t>Task Description</t>
  </si>
  <si>
    <t>Task ID</t>
  </si>
  <si>
    <t>Team Member</t>
  </si>
  <si>
    <t>Activity</t>
  </si>
  <si>
    <t>User Story Description</t>
  </si>
  <si>
    <t>Task Completion Date</t>
  </si>
  <si>
    <t>Task Start Date</t>
  </si>
  <si>
    <t>PROJECT REPORTING DASHBOARD</t>
  </si>
  <si>
    <t>SL #</t>
  </si>
  <si>
    <t>DATE</t>
  </si>
  <si>
    <t>ITERATION DURATION</t>
  </si>
  <si>
    <t>TOTAL ITERATION</t>
  </si>
  <si>
    <t>MOSCOW</t>
  </si>
  <si>
    <t>Planned</t>
  </si>
  <si>
    <t>Actual</t>
  </si>
  <si>
    <t>Start Doing</t>
  </si>
  <si>
    <t>Sprint #</t>
  </si>
  <si>
    <t>Sprint start date</t>
  </si>
  <si>
    <t xml:space="preserve">Stop Doing </t>
  </si>
  <si>
    <t xml:space="preserve">Continue Doing </t>
  </si>
  <si>
    <t xml:space="preserve">Team member name </t>
  </si>
  <si>
    <t>Day 1</t>
  </si>
  <si>
    <t>Day 2</t>
  </si>
  <si>
    <t>Day 3</t>
  </si>
  <si>
    <t>Original Estimate Effort (In Hours)</t>
  </si>
  <si>
    <t>Sprint</t>
  </si>
  <si>
    <t>Actual Sprint</t>
  </si>
  <si>
    <t>Day</t>
  </si>
  <si>
    <t xml:space="preserve"> </t>
  </si>
  <si>
    <t>SPRINT I BURN-DOWN CHART DATA</t>
  </si>
  <si>
    <t>SPRINT II BURN-DOWN CHART DATA</t>
  </si>
  <si>
    <t>SPRINT  1  BACKLOG</t>
  </si>
  <si>
    <t>SPRINT  2  BACKLOG</t>
  </si>
  <si>
    <t>NOTES:  Task sizing should be between 0.5 to 12 hours</t>
  </si>
  <si>
    <t>Action taken</t>
  </si>
  <si>
    <t>Sprint end date</t>
  </si>
  <si>
    <t xml:space="preserve">Sprint </t>
  </si>
  <si>
    <t>Impediments</t>
  </si>
  <si>
    <t>Action Taken</t>
  </si>
  <si>
    <t>Points Discussed</t>
  </si>
  <si>
    <t>SPRINT 1 START DATE</t>
  </si>
  <si>
    <t>SPRINT 2 START DATE</t>
  </si>
  <si>
    <t>Sprint 1 Progress</t>
  </si>
  <si>
    <t>Sprint 2 Progress</t>
  </si>
  <si>
    <t>Note:- To view the Burndown chart for a particular day the next day should be selected in the Sprint Progress dropdown.    For viewing the complete Sprint Burndown chart the status should be set to completed in the dropdown</t>
  </si>
  <si>
    <t>Day 4</t>
  </si>
  <si>
    <t>Day 5</t>
  </si>
  <si>
    <t>Day 6</t>
  </si>
  <si>
    <t>Day 7</t>
  </si>
  <si>
    <t>Day 8</t>
  </si>
  <si>
    <t>Day 9</t>
  </si>
  <si>
    <t>Day 10</t>
  </si>
  <si>
    <t>Dependency</t>
  </si>
  <si>
    <t>TEAM SIZE</t>
  </si>
  <si>
    <t>Members</t>
  </si>
  <si>
    <t>Available days in the Sprint</t>
  </si>
  <si>
    <t>Available working hours per Day</t>
  </si>
  <si>
    <t>Total Hours Available in the Sprint</t>
  </si>
  <si>
    <t>Total Numbers of Members</t>
  </si>
  <si>
    <t xml:space="preserve">  Total</t>
  </si>
  <si>
    <t>Time for ceremonies</t>
  </si>
  <si>
    <t>Buffer Time</t>
  </si>
  <si>
    <t>Total hours of available work time in the Sprint</t>
  </si>
  <si>
    <t>SPRINT 1 CAPACITY PLANNING</t>
  </si>
  <si>
    <t>SPRINT 2 CAPACITY PLANNING</t>
  </si>
  <si>
    <t>Day 11</t>
  </si>
  <si>
    <t>Day 12</t>
  </si>
  <si>
    <t>Day 13</t>
  </si>
  <si>
    <t>Day 14</t>
  </si>
  <si>
    <t>Sprint 1</t>
  </si>
  <si>
    <t>MUST HAVE</t>
  </si>
  <si>
    <t>3- Completed</t>
  </si>
  <si>
    <t>Design</t>
  </si>
  <si>
    <t>Coding</t>
  </si>
  <si>
    <t>Build</t>
  </si>
  <si>
    <t>COMPLETED</t>
  </si>
  <si>
    <t>Sprint 2</t>
  </si>
  <si>
    <t>15/4/2019</t>
  </si>
  <si>
    <t>26/04/2019</t>
  </si>
  <si>
    <t>US-01</t>
  </si>
  <si>
    <t>Task-01</t>
  </si>
  <si>
    <t>Task-02</t>
  </si>
  <si>
    <t>Task-03</t>
  </si>
  <si>
    <t>Task-04</t>
  </si>
  <si>
    <t>Back-end Implementation</t>
  </si>
  <si>
    <t>Task-05</t>
  </si>
  <si>
    <t>Connecting backend to front end</t>
  </si>
  <si>
    <t>Task-06</t>
  </si>
  <si>
    <t>Unit Testing</t>
  </si>
  <si>
    <t>Unit Test</t>
  </si>
  <si>
    <t>Task-07</t>
  </si>
  <si>
    <t>Documentation</t>
  </si>
  <si>
    <t>Others</t>
  </si>
  <si>
    <t>Task-08</t>
  </si>
  <si>
    <t>Integration to existing application</t>
  </si>
  <si>
    <t>US-02</t>
  </si>
  <si>
    <t>US-03</t>
  </si>
  <si>
    <t>US-04</t>
  </si>
  <si>
    <t>Finding the suitable dataset</t>
  </si>
  <si>
    <t>Splitting the dataset into different classes for training</t>
  </si>
  <si>
    <t>Converting each image into numpy array</t>
  </si>
  <si>
    <t>US-05</t>
  </si>
  <si>
    <t>Used pickle python library to dump our model</t>
  </si>
  <si>
    <t>US-06</t>
  </si>
  <si>
    <t>Convert the image to gray scale image</t>
  </si>
  <si>
    <t>Converting the grey scale image to binary image</t>
  </si>
  <si>
    <t>All the connected components are found out by labelling it using skimage library.</t>
  </si>
  <si>
    <t>US-07</t>
  </si>
  <si>
    <t>Out of all the connected components, the characters are segmented</t>
  </si>
  <si>
    <t>Stored segmented characters into a license plate image array</t>
  </si>
  <si>
    <t>US-08</t>
  </si>
  <si>
    <t>Every segmented image of a character is predicted and appended to the license plate array</t>
  </si>
  <si>
    <t>From the license plate array, the empty strings,shorter length plates,duplicate strings are removed</t>
  </si>
  <si>
    <t>License strings from the previous task is returned to the backend for searching that user from the database.</t>
  </si>
  <si>
    <t xml:space="preserve">Rounak Soni </t>
  </si>
  <si>
    <t>Shailja Negi</t>
  </si>
  <si>
    <t xml:space="preserve">Shubham </t>
  </si>
  <si>
    <t>Yash Garg</t>
  </si>
  <si>
    <t>Siddhant Khokhar</t>
  </si>
  <si>
    <t>Varun Middha</t>
  </si>
  <si>
    <t>Sushant Ahuja</t>
  </si>
  <si>
    <t>US-09</t>
  </si>
  <si>
    <t>US-10</t>
  </si>
  <si>
    <t>Project Id.</t>
  </si>
  <si>
    <t>17/4/2019</t>
  </si>
  <si>
    <t>Understanding the flow of implementation and discussed the required softwares</t>
  </si>
  <si>
    <t>Design of UI (wireframe) of SignIn form</t>
  </si>
  <si>
    <t>Design of UI (wireframe) of Signup form</t>
  </si>
  <si>
    <t>Design of UI (wireframe) of Home Page</t>
  </si>
  <si>
    <t>COULD HAVE</t>
  </si>
  <si>
    <t>Rounak Soni, Sushant Ahuja, Shailja Negi</t>
  </si>
  <si>
    <t>Stopped using this dataset as it was not suitable for our problem</t>
  </si>
  <si>
    <t xml:space="preserve">Researched for a new suitable  dataset </t>
  </si>
  <si>
    <t>Problem using hand written recognition dataset from kaggle as hand written characters are not found on number plates</t>
  </si>
  <si>
    <t>Used ten feature extracted images of each character as our new dataset.</t>
  </si>
  <si>
    <t xml:space="preserve">Yash Garg, Shubham </t>
  </si>
  <si>
    <t>Used material-ui for show/hide password</t>
  </si>
  <si>
    <t>Problem with the functionality of show/hide password.</t>
  </si>
  <si>
    <t>Stopped using the old styling methods</t>
  </si>
  <si>
    <t>Researched for show /hide password icon.</t>
  </si>
  <si>
    <t xml:space="preserve">Design of Back-end Schema </t>
  </si>
  <si>
    <t>Validation of Signup fields</t>
  </si>
  <si>
    <t>Validation of SignIn fields</t>
  </si>
  <si>
    <t>Dividing the dataset into features and target variable to be passed in model</t>
  </si>
  <si>
    <t>Implementation of model on the training data</t>
  </si>
  <si>
    <t>Implementation of K-Fold Cross validation algorithm</t>
  </si>
  <si>
    <t>Finding algorithm for accuracy calculation</t>
  </si>
  <si>
    <t>Implementation of Support Vector Machine(SVM) algorithm</t>
  </si>
  <si>
    <t>Converting the image to b64 encoding format to send to the flask server</t>
  </si>
  <si>
    <t>22/04/2019</t>
  </si>
  <si>
    <t>24/04/2019</t>
  </si>
  <si>
    <t>30/04/2019</t>
  </si>
  <si>
    <t>Implementing model relationship between documents</t>
  </si>
  <si>
    <t>16/4/2019</t>
  </si>
  <si>
    <t>13/5/2019</t>
  </si>
  <si>
    <t>14/5/2019</t>
  </si>
  <si>
    <t>15/5/2019</t>
  </si>
  <si>
    <t>23/04/2019</t>
  </si>
  <si>
    <t>Design of UI (wireframe) of Edit Profile Page</t>
  </si>
  <si>
    <t>US-11</t>
  </si>
  <si>
    <t>2- In Progress</t>
  </si>
  <si>
    <t>Breaking down video into frames</t>
  </si>
  <si>
    <t>Detecting the license plate from each frame</t>
  </si>
  <si>
    <t>Segmenting characters from each license plate</t>
  </si>
  <si>
    <t>Predicting segmented characters using SVM</t>
  </si>
  <si>
    <t>Redesign of UI (wireframe) of website</t>
  </si>
  <si>
    <t>Design of Back-end Schema of owner</t>
  </si>
  <si>
    <t>SHOULD HAVE</t>
  </si>
  <si>
    <t>As a user,I want  to get the details of car owner</t>
  </si>
  <si>
    <t>As a user , I want to change the details of my profile</t>
  </si>
  <si>
    <t>As a user, I want to detect the license plate number from a video</t>
  </si>
  <si>
    <t>As a user, I want to login to the application, so that I am able to use the application</t>
  </si>
  <si>
    <t>As an admin,I want the model should predict the class of the segmented characters and send it back to the application</t>
  </si>
  <si>
    <t>As a user, I want to signup to the application if not a user, so that I am able to use the application</t>
  </si>
  <si>
    <t>As a user, I want to upload a car image so that I am able to get its license plate number</t>
  </si>
  <si>
    <t>As an admin,I want my dataset images to be split into different folders of a-z and 0-9 so that they can be divided into features and target variables for training the model</t>
  </si>
  <si>
    <t>As an admin,I want Support Vector Machine(SVM) to be used as a classification algorithm to train our model and implementing K-Fold cross validation algorithm to check the accuracy of the model</t>
  </si>
  <si>
    <t>As an admin,I want the model should segment the characters from the detected license plate and then stored it into the license plate image array</t>
  </si>
  <si>
    <t>As an admin,I want the model should detect the license plate from the uploaded image by converting the uploaded image into b64 format encoding format and then the connected components are found out by using skimage library</t>
  </si>
  <si>
    <t>Siddhant, Varun found the difficulty in finding the proper dataset for our project</t>
  </si>
  <si>
    <t xml:space="preserve">Every team member in the team researched for the appropriate dataset  </t>
  </si>
  <si>
    <t xml:space="preserve">Sushant helped in Implementing proper CRUD operation and web services </t>
  </si>
  <si>
    <t xml:space="preserve">Shailja, Sushant and Yash helped him for finding the better dataset  </t>
  </si>
  <si>
    <t>All the team members discussed the appropriate schema required and added the collection for the owner details</t>
  </si>
  <si>
    <t>The whole team discussed what other features to be added in UI</t>
  </si>
  <si>
    <t>Decided to add the contact and edit profile components to our website</t>
  </si>
  <si>
    <t>Sushant discussed about improving the accuracy of our model</t>
  </si>
  <si>
    <t>The whole team researched for better algorithms</t>
  </si>
  <si>
    <t>Everyone observing the requirements for the project</t>
  </si>
  <si>
    <t>Discussed about what back-end schema is required for the signup page and designed the schema and database for our project</t>
  </si>
  <si>
    <t>We all discussed what tasks to be done in Sprint 1 and who should perform which task in the team</t>
  </si>
  <si>
    <t>Rounak, Sushant, Shailja put up their points about  the required algorithms in machine learning for our project with all other members</t>
  </si>
  <si>
    <t>Researched and studied the algorithms on internet by every member of the group</t>
  </si>
  <si>
    <t>Yash and Shubham faced problem in styling of the page and wants every member to give their input regarding the styling</t>
  </si>
  <si>
    <t>Other team members suggested to use font-awesome and primereact websites for betterment of our web UI</t>
  </si>
  <si>
    <t>Shubham and Yash faced problem in Database Connection and retreiving the data and showing data on the UI</t>
  </si>
  <si>
    <t xml:space="preserve">Rounak put up a problem that he was unable to find the better dataset for our project </t>
  </si>
  <si>
    <t>Understanding Image Processing to find the connected components and explained each other every part they studied</t>
  </si>
  <si>
    <t>Researched and Implementing connected components algorithm using skimage library</t>
  </si>
  <si>
    <t>We all reviewed our project before sprint1 evaluation and do the testing part once again for each component</t>
  </si>
  <si>
    <t>End-to-end flow of our project was checked by our team</t>
  </si>
  <si>
    <t>We all reviewed our final project before sprint2 evaluation and do the testing part once again for each component</t>
  </si>
  <si>
    <t xml:space="preserve">Rounak(Scrum Master) noted down the tasks and alloted the tasks to every member in the team </t>
  </si>
  <si>
    <t>Rounak(Scrum Master) alloted the tasks to every member in the team</t>
  </si>
  <si>
    <t>We all discussed the remaining tasks to be done in sprint 2 and every member volunteered what tasks they want to do</t>
  </si>
  <si>
    <t>Yash and Shubham discussed back-end schema of owner details with the team</t>
  </si>
  <si>
    <t>Yash and Shubham discussed about the betterment in styling and implementation of our website</t>
  </si>
  <si>
    <t>About us  in the footer and better awesome icons in the website is added to make it more appealing</t>
  </si>
  <si>
    <t>US-12</t>
  </si>
  <si>
    <t>US-13</t>
  </si>
  <si>
    <t>US-14</t>
  </si>
  <si>
    <t>US-15</t>
  </si>
  <si>
    <t>As a user, I want to predict the license plate number from the real image.</t>
  </si>
  <si>
    <t>As a user, I want to capture the image from the phone camera and use it to detect the license plate number.</t>
  </si>
  <si>
    <t>As a user, I want to store the list of previously searched number plates.</t>
  </si>
  <si>
    <t>As a user, I want to detect the number plate from live video camera</t>
  </si>
  <si>
    <t>Rounak Soni, Sushant Ahuja</t>
  </si>
  <si>
    <t>Problem in accessing the image to be uploaded from anywhere in the computer due to browser's security feature of not giving the exact path of the image</t>
  </si>
  <si>
    <t xml:space="preserve">Stopped accessing the image from particular folder only </t>
  </si>
  <si>
    <t xml:space="preserve">Researched for uploading image to the back-end </t>
  </si>
  <si>
    <t>Used multer class in the express js to receive the image from the front-end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</si>
</sst>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09]d\-mmm\-yy;@"/>
  </numFmts>
  <fonts count="24"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b/>
      <sz val="12"/>
      <name val="Arial"/>
      <family val="2"/>
    </font>
    <font>
      <sz val="11"/>
      <name val="Arial"/>
      <family val="2"/>
    </font>
    <font>
      <sz val="10"/>
      <color theme="1"/>
      <name val="Arial"/>
      <family val="2"/>
    </font>
    <font>
      <b/>
      <sz val="8"/>
      <color theme="1"/>
      <name val="Arial"/>
      <family val="2"/>
    </font>
    <font>
      <sz val="8"/>
      <color theme="0"/>
      <name val="Arial"/>
      <family val="2"/>
    </font>
    <font>
      <sz val="20"/>
      <color theme="1"/>
      <name val="Arial"/>
      <family val="2"/>
    </font>
    <font>
      <sz val="10"/>
      <color rgb="FF000000"/>
      <name val="Segoe UI"/>
      <family val="2"/>
    </font>
    <font>
      <b/>
      <sz val="12"/>
      <color theme="1"/>
      <name val="Arial"/>
      <family val="2"/>
    </font>
    <font>
      <b/>
      <sz val="10"/>
      <color theme="1"/>
      <name val="Arial"/>
      <family val="2"/>
    </font>
    <font>
      <sz val="11"/>
      <name val="Calibri"/>
      <family val="2"/>
      <scheme val="minor"/>
    </font>
    <font>
      <sz val="12"/>
      <color theme="1"/>
      <name val="Calibri"/>
      <family val="2"/>
      <scheme val="minor"/>
    </font>
    <font>
      <sz val="12"/>
      <name val="Calibri"/>
      <family val="2"/>
      <scheme val="minor"/>
    </font>
    <font>
      <sz val="12"/>
      <name val="Arial"/>
      <family val="2"/>
    </font>
    <font>
      <b/>
      <sz val="11"/>
      <color theme="1"/>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rgb="FF92D050"/>
        <bgColor indexed="64"/>
      </patternFill>
    </fill>
    <fill>
      <patternFill patternType="solid">
        <fgColor theme="8" tint="0.59996337778862885"/>
        <bgColor indexed="64"/>
      </patternFill>
    </fill>
    <fill>
      <patternFill patternType="solid">
        <fgColor theme="2" tint="-0.249977111117893"/>
        <bgColor indexed="64"/>
      </patternFill>
    </fill>
    <fill>
      <patternFill patternType="solid">
        <fgColor theme="6"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right style="medium">
        <color indexed="64"/>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216">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3" fillId="0" borderId="0" xfId="0" applyFont="1" applyFill="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6" fillId="0" borderId="0" xfId="0" applyFont="1" applyBorder="1" applyAlignment="1" applyProtection="1">
      <alignment horizontal="left" vertical="center"/>
      <protection locked="0"/>
    </xf>
    <xf numFmtId="0" fontId="1" fillId="0" borderId="4" xfId="0" applyFont="1" applyBorder="1" applyAlignment="1">
      <alignment horizontal="center" vertical="center"/>
    </xf>
    <xf numFmtId="0" fontId="12" fillId="0" borderId="0" xfId="0" applyFont="1"/>
    <xf numFmtId="0" fontId="2" fillId="2"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2" fillId="4" borderId="0" xfId="0" applyFont="1" applyFill="1" applyAlignment="1">
      <alignment horizontal="center" vertical="center" wrapText="1"/>
    </xf>
    <xf numFmtId="0" fontId="2" fillId="4" borderId="6" xfId="0" applyFont="1" applyFill="1" applyBorder="1" applyAlignment="1">
      <alignment horizontal="center" vertical="center" wrapText="1"/>
    </xf>
    <xf numFmtId="0" fontId="13" fillId="6" borderId="7" xfId="0" applyFont="1" applyFill="1" applyBorder="1" applyAlignment="1" applyProtection="1">
      <alignment horizontal="center" vertical="center" wrapText="1"/>
    </xf>
    <xf numFmtId="0" fontId="13" fillId="6"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7" fillId="0" borderId="0" xfId="0" applyFont="1"/>
    <xf numFmtId="0" fontId="6" fillId="0" borderId="0" xfId="0" applyFont="1" applyBorder="1" applyAlignment="1" applyProtection="1">
      <alignment horizontal="left" vertical="center"/>
    </xf>
    <xf numFmtId="0" fontId="14" fillId="7" borderId="19" xfId="0" applyFont="1" applyFill="1" applyBorder="1" applyAlignment="1">
      <alignment horizontal="center" vertical="center"/>
    </xf>
    <xf numFmtId="164" fontId="14" fillId="7" borderId="19" xfId="0" applyNumberFormat="1" applyFont="1" applyFill="1" applyBorder="1" applyAlignment="1">
      <alignment horizontal="left" vertical="center"/>
    </xf>
    <xf numFmtId="0" fontId="14" fillId="7" borderId="20" xfId="0" applyFont="1" applyFill="1" applyBorder="1" applyAlignment="1">
      <alignment horizontal="center" vertical="center"/>
    </xf>
    <xf numFmtId="0" fontId="14" fillId="7" borderId="20" xfId="0" applyFont="1" applyFill="1" applyBorder="1" applyAlignment="1">
      <alignment horizontal="left" vertical="center"/>
    </xf>
    <xf numFmtId="15" fontId="14" fillId="7" borderId="19" xfId="0" applyNumberFormat="1" applyFont="1" applyFill="1" applyBorder="1" applyAlignment="1">
      <alignment horizontal="center" vertical="center"/>
    </xf>
    <xf numFmtId="0" fontId="14" fillId="7" borderId="21" xfId="0" applyFont="1" applyFill="1" applyBorder="1" applyAlignment="1">
      <alignment vertical="center"/>
    </xf>
    <xf numFmtId="0" fontId="14" fillId="7" borderId="22" xfId="0" applyFont="1" applyFill="1" applyBorder="1" applyAlignment="1">
      <alignment vertical="center"/>
    </xf>
    <xf numFmtId="0" fontId="7" fillId="8" borderId="0" xfId="0" applyFont="1" applyFill="1" applyBorder="1" applyAlignment="1" applyProtection="1">
      <alignment horizontal="center" vertical="center" wrapText="1"/>
    </xf>
    <xf numFmtId="0" fontId="1"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top"/>
      <protection locked="0"/>
    </xf>
    <xf numFmtId="0" fontId="0" fillId="9" borderId="1" xfId="0" applyFill="1" applyBorder="1" applyAlignment="1" applyProtection="1">
      <alignment horizontal="center" vertical="center"/>
      <protection locked="0"/>
    </xf>
    <xf numFmtId="10" fontId="3" fillId="9" borderId="1" xfId="0" applyNumberFormat="1" applyFont="1" applyFill="1" applyBorder="1" applyProtection="1">
      <protection locked="0"/>
    </xf>
    <xf numFmtId="0" fontId="0" fillId="10" borderId="1" xfId="0" applyFill="1" applyBorder="1" applyAlignment="1" applyProtection="1">
      <alignment horizontal="center" vertical="center"/>
      <protection locked="0"/>
    </xf>
    <xf numFmtId="10" fontId="3" fillId="10" borderId="1" xfId="0" applyNumberFormat="1" applyFont="1" applyFill="1" applyBorder="1" applyProtection="1">
      <protection locked="0"/>
    </xf>
    <xf numFmtId="0" fontId="0" fillId="8" borderId="0" xfId="0" applyFill="1"/>
    <xf numFmtId="0" fontId="7" fillId="11" borderId="1" xfId="0" applyFont="1" applyFill="1" applyBorder="1" applyAlignment="1" applyProtection="1">
      <alignment horizontal="center" vertical="center" wrapText="1"/>
    </xf>
    <xf numFmtId="0" fontId="10" fillId="11" borderId="1" xfId="0" applyFont="1" applyFill="1" applyBorder="1"/>
    <xf numFmtId="0" fontId="3" fillId="11" borderId="1" xfId="0" applyFont="1" applyFill="1" applyBorder="1"/>
    <xf numFmtId="0" fontId="0" fillId="9" borderId="0" xfId="0" applyFill="1" applyBorder="1" applyAlignment="1">
      <alignment wrapText="1"/>
    </xf>
    <xf numFmtId="0" fontId="0" fillId="9" borderId="8" xfId="0" applyFill="1" applyBorder="1" applyAlignment="1">
      <alignment wrapText="1"/>
    </xf>
    <xf numFmtId="0" fontId="0" fillId="9" borderId="0" xfId="0" applyFill="1" applyBorder="1"/>
    <xf numFmtId="0" fontId="0" fillId="9" borderId="8" xfId="0" applyFill="1" applyBorder="1"/>
    <xf numFmtId="0" fontId="3" fillId="9" borderId="0" xfId="0" applyFont="1" applyFill="1" applyBorder="1"/>
    <xf numFmtId="0" fontId="3" fillId="9" borderId="8" xfId="0" applyFont="1" applyFill="1" applyBorder="1"/>
    <xf numFmtId="0" fontId="0" fillId="9" borderId="9" xfId="0" applyFill="1" applyBorder="1"/>
    <xf numFmtId="0" fontId="0" fillId="9" borderId="2" xfId="0" applyFill="1" applyBorder="1"/>
    <xf numFmtId="0" fontId="0" fillId="10" borderId="0" xfId="0" applyFill="1" applyBorder="1" applyAlignment="1">
      <alignment wrapText="1"/>
    </xf>
    <xf numFmtId="0" fontId="0" fillId="10" borderId="0" xfId="0" applyFill="1" applyBorder="1"/>
    <xf numFmtId="0" fontId="3" fillId="10" borderId="0" xfId="0" applyFont="1" applyFill="1" applyBorder="1"/>
    <xf numFmtId="0" fontId="0" fillId="10" borderId="9" xfId="0" applyFill="1" applyBorder="1"/>
    <xf numFmtId="0" fontId="0" fillId="10" borderId="8" xfId="0" applyFill="1" applyBorder="1" applyAlignment="1">
      <alignment wrapText="1"/>
    </xf>
    <xf numFmtId="0" fontId="0" fillId="10" borderId="8" xfId="0" applyFill="1" applyBorder="1"/>
    <xf numFmtId="0" fontId="3" fillId="10" borderId="8" xfId="0" applyFont="1" applyFill="1" applyBorder="1"/>
    <xf numFmtId="0" fontId="0" fillId="10" borderId="2" xfId="0" applyFill="1" applyBorder="1"/>
    <xf numFmtId="0" fontId="0" fillId="10" borderId="10" xfId="0" applyFill="1" applyBorder="1" applyAlignment="1">
      <alignment wrapText="1"/>
    </xf>
    <xf numFmtId="0" fontId="0" fillId="10" borderId="10" xfId="0" applyFill="1" applyBorder="1"/>
    <xf numFmtId="0" fontId="0" fillId="10" borderId="11" xfId="0" applyFill="1" applyBorder="1"/>
    <xf numFmtId="0" fontId="3" fillId="12" borderId="10" xfId="0" applyFont="1" applyFill="1" applyBorder="1" applyAlignment="1" applyProtection="1">
      <alignment vertical="center"/>
    </xf>
    <xf numFmtId="0" fontId="3" fillId="12" borderId="0" xfId="0" applyFont="1" applyFill="1" applyBorder="1" applyAlignment="1" applyProtection="1">
      <alignment vertical="center"/>
    </xf>
    <xf numFmtId="0" fontId="3" fillId="12" borderId="9" xfId="0" applyFont="1" applyFill="1" applyBorder="1" applyAlignment="1" applyProtection="1">
      <alignment vertical="center"/>
    </xf>
    <xf numFmtId="0" fontId="13" fillId="13" borderId="6" xfId="0" applyFont="1" applyFill="1" applyBorder="1" applyAlignment="1" applyProtection="1">
      <alignment horizontal="center" vertical="center" wrapText="1"/>
    </xf>
    <xf numFmtId="0" fontId="3" fillId="9" borderId="1" xfId="0" applyFont="1" applyFill="1" applyBorder="1" applyAlignment="1" applyProtection="1">
      <alignment horizontal="center"/>
      <protection locked="0"/>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18" fillId="6" borderId="7"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wrapText="1"/>
    </xf>
    <xf numFmtId="0" fontId="18" fillId="13" borderId="6" xfId="0" applyFont="1" applyFill="1" applyBorder="1" applyAlignment="1" applyProtection="1">
      <alignment horizontal="center" vertical="center" wrapText="1"/>
    </xf>
    <xf numFmtId="0" fontId="0" fillId="0" borderId="1" xfId="0" applyFont="1" applyFill="1" applyBorder="1" applyAlignment="1" applyProtection="1">
      <alignment horizontal="center" vertical="center" wrapText="1"/>
      <protection locked="0"/>
    </xf>
    <xf numFmtId="0" fontId="19" fillId="0" borderId="1" xfId="2" applyFont="1" applyBorder="1" applyAlignment="1" applyProtection="1">
      <alignment horizontal="center" vertical="center"/>
      <protection locked="0"/>
    </xf>
    <xf numFmtId="0" fontId="19" fillId="0" borderId="1" xfId="2"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Alignment="1">
      <alignment horizontal="center" vertical="center"/>
    </xf>
    <xf numFmtId="0" fontId="20" fillId="0" borderId="1" xfId="0" applyFont="1" applyBorder="1" applyAlignment="1">
      <alignment horizontal="center" vertical="center" wrapText="1"/>
    </xf>
    <xf numFmtId="14" fontId="20" fillId="0" borderId="1" xfId="0" applyNumberFormat="1" applyFont="1" applyBorder="1" applyAlignment="1">
      <alignment horizontal="center" vertical="center" wrapText="1"/>
    </xf>
    <xf numFmtId="0" fontId="21" fillId="0" borderId="1" xfId="0" applyFont="1" applyBorder="1" applyAlignment="1">
      <alignment horizontal="center" vertical="center" wrapText="1"/>
    </xf>
    <xf numFmtId="0" fontId="3" fillId="0" borderId="4" xfId="0"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4" xfId="0" applyFont="1" applyBorder="1" applyAlignment="1" applyProtection="1">
      <alignment vertical="center"/>
      <protection locked="0"/>
    </xf>
    <xf numFmtId="164" fontId="3" fillId="0" borderId="3" xfId="0" applyNumberFormat="1" applyFont="1" applyBorder="1" applyAlignment="1" applyProtection="1">
      <alignment horizontal="center" vertical="center" wrapText="1"/>
      <protection locked="0"/>
    </xf>
    <xf numFmtId="164" fontId="3" fillId="0" borderId="3" xfId="0" applyNumberFormat="1" applyFont="1" applyBorder="1" applyAlignment="1" applyProtection="1">
      <alignment horizontal="left" vertical="center" wrapText="1"/>
      <protection locked="0"/>
    </xf>
    <xf numFmtId="0" fontId="3" fillId="0" borderId="0" xfId="0" applyFont="1" applyAlignment="1" applyProtection="1">
      <alignment horizontal="center" vertical="center"/>
      <protection locked="0"/>
    </xf>
    <xf numFmtId="0" fontId="3" fillId="0" borderId="1" xfId="0" applyFont="1" applyBorder="1" applyAlignment="1" applyProtection="1">
      <alignment horizontal="left" vertical="center" wrapText="1"/>
      <protection locked="0"/>
    </xf>
    <xf numFmtId="0" fontId="0" fillId="9" borderId="1" xfId="0" applyFill="1" applyBorder="1" applyAlignment="1" applyProtection="1">
      <alignment horizontal="left" vertical="center"/>
      <protection locked="0"/>
    </xf>
    <xf numFmtId="0" fontId="3" fillId="9" borderId="1" xfId="0" applyFont="1" applyFill="1" applyBorder="1" applyAlignment="1" applyProtection="1">
      <alignment horizontal="left" vertical="center"/>
      <protection locked="0"/>
    </xf>
    <xf numFmtId="0" fontId="0" fillId="9" borderId="0" xfId="0" applyFill="1" applyBorder="1" applyAlignment="1">
      <alignment horizontal="left" vertical="center"/>
    </xf>
    <xf numFmtId="0" fontId="11" fillId="0" borderId="1" xfId="0" applyFont="1" applyFill="1" applyBorder="1" applyAlignment="1">
      <alignment horizontal="center" vertical="center" wrapText="1" readingOrder="1"/>
    </xf>
    <xf numFmtId="0" fontId="11" fillId="0" borderId="1" xfId="0" applyFont="1" applyBorder="1" applyAlignment="1">
      <alignment horizontal="center" vertical="center" wrapText="1" readingOrder="1"/>
    </xf>
    <xf numFmtId="0" fontId="22" fillId="0" borderId="12" xfId="0" applyFont="1" applyFill="1" applyBorder="1" applyAlignment="1">
      <alignment horizontal="left" vertical="center" wrapText="1" readingOrder="1"/>
    </xf>
    <xf numFmtId="0" fontId="22" fillId="0" borderId="1" xfId="0" applyFont="1" applyBorder="1" applyAlignment="1">
      <alignment horizontal="left" vertical="center" wrapText="1" readingOrder="1"/>
    </xf>
    <xf numFmtId="0" fontId="23" fillId="3" borderId="1" xfId="0" applyFont="1" applyFill="1" applyBorder="1" applyAlignment="1">
      <alignment horizontal="center" vertical="center" wrapText="1" readingOrder="1"/>
    </xf>
    <xf numFmtId="0" fontId="23" fillId="3" borderId="6" xfId="0" applyFont="1" applyFill="1" applyBorder="1" applyAlignment="1">
      <alignment horizontal="center" vertical="center" wrapText="1" readingOrder="1"/>
    </xf>
    <xf numFmtId="164" fontId="19" fillId="0" borderId="3" xfId="0" applyNumberFormat="1" applyFont="1" applyFill="1" applyBorder="1" applyAlignment="1" applyProtection="1">
      <alignment horizontal="center" vertical="center" wrapText="1"/>
      <protection locked="0"/>
    </xf>
    <xf numFmtId="3" fontId="0" fillId="0" borderId="3" xfId="0" applyNumberFormat="1" applyFont="1" applyFill="1" applyBorder="1" applyAlignment="1" applyProtection="1">
      <alignment horizontal="center" vertical="center" wrapText="1"/>
      <protection locked="0"/>
    </xf>
    <xf numFmtId="164" fontId="19" fillId="0" borderId="3" xfId="0" applyNumberFormat="1" applyFont="1" applyBorder="1" applyAlignment="1" applyProtection="1">
      <alignment horizontal="center" vertical="center" wrapText="1"/>
      <protection locked="0"/>
    </xf>
    <xf numFmtId="15" fontId="19" fillId="0" borderId="3" xfId="0" applyNumberFormat="1" applyFont="1" applyBorder="1" applyAlignment="1" applyProtection="1">
      <alignment horizontal="center" vertical="center" wrapText="1"/>
      <protection locked="0"/>
    </xf>
    <xf numFmtId="0" fontId="0" fillId="0" borderId="0" xfId="0"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1" fontId="19" fillId="0" borderId="3" xfId="0" applyNumberFormat="1" applyFont="1" applyBorder="1" applyAlignment="1" applyProtection="1">
      <alignment horizontal="center" vertical="center" wrapText="1"/>
      <protection locked="0"/>
    </xf>
    <xf numFmtId="3" fontId="0" fillId="0" borderId="1" xfId="0" applyNumberFormat="1" applyFont="1" applyFill="1" applyBorder="1" applyAlignment="1" applyProtection="1">
      <alignment horizontal="center" vertical="center" wrapText="1"/>
      <protection locked="0"/>
    </xf>
    <xf numFmtId="1" fontId="19" fillId="0" borderId="1" xfId="0" applyNumberFormat="1" applyFont="1" applyBorder="1" applyAlignment="1" applyProtection="1">
      <alignment horizontal="center" vertical="center" wrapText="1"/>
      <protection locked="0"/>
    </xf>
    <xf numFmtId="16" fontId="3" fillId="0" borderId="1" xfId="0" applyNumberFormat="1" applyFont="1" applyFill="1" applyBorder="1" applyAlignment="1">
      <alignment horizontal="center" vertical="center"/>
    </xf>
    <xf numFmtId="0" fontId="3" fillId="0" borderId="1" xfId="0" applyFont="1" applyFill="1" applyBorder="1" applyAlignment="1">
      <alignment horizontal="left" vertical="top" wrapText="1"/>
    </xf>
    <xf numFmtId="16" fontId="3" fillId="0" borderId="1" xfId="0" applyNumberFormat="1" applyFont="1" applyFill="1" applyBorder="1" applyAlignment="1">
      <alignment horizontal="center" vertical="center"/>
    </xf>
    <xf numFmtId="0" fontId="3" fillId="0" borderId="1" xfId="0" applyFont="1" applyFill="1" applyBorder="1" applyAlignment="1">
      <alignment horizontal="center" vertical="center" wrapText="1"/>
    </xf>
    <xf numFmtId="0" fontId="3" fillId="0" borderId="1" xfId="0" applyFont="1" applyFill="1" applyBorder="1" applyAlignment="1">
      <alignment horizontal="left" vertical="center" wrapText="1"/>
    </xf>
    <xf numFmtId="0" fontId="3" fillId="0" borderId="1" xfId="0" applyFont="1" applyFill="1" applyBorder="1" applyAlignment="1">
      <alignment vertical="center" wrapText="1"/>
    </xf>
    <xf numFmtId="14" fontId="21" fillId="0" borderId="1" xfId="0" applyNumberFormat="1" applyFont="1" applyBorder="1" applyAlignment="1">
      <alignment horizontal="center" vertical="center" wrapText="1"/>
    </xf>
    <xf numFmtId="0" fontId="20" fillId="0" borderId="1" xfId="0" applyFont="1" applyBorder="1" applyAlignment="1">
      <alignment horizontal="left" vertical="top" wrapText="1"/>
    </xf>
    <xf numFmtId="0" fontId="21" fillId="0" borderId="1" xfId="0" applyFont="1" applyBorder="1" applyAlignment="1">
      <alignment horizontal="left" vertical="top" wrapText="1"/>
    </xf>
    <xf numFmtId="0" fontId="21" fillId="0" borderId="0" xfId="0" applyFont="1" applyAlignment="1">
      <alignment horizontal="left" vertical="top" wrapText="1"/>
    </xf>
    <xf numFmtId="0" fontId="0" fillId="0" borderId="1" xfId="0" applyBorder="1" applyAlignment="1">
      <alignment vertical="top"/>
    </xf>
    <xf numFmtId="0" fontId="0" fillId="0" borderId="1" xfId="0" applyBorder="1" applyAlignment="1">
      <alignment horizontal="center" vertical="center"/>
    </xf>
    <xf numFmtId="0" fontId="0" fillId="0" borderId="1" xfId="0" applyBorder="1" applyAlignment="1">
      <alignment horizontal="left" vertical="top" wrapText="1"/>
    </xf>
    <xf numFmtId="0" fontId="3" fillId="0" borderId="1" xfId="0" applyFont="1" applyFill="1" applyBorder="1" applyAlignment="1">
      <alignment vertical="top" wrapText="1"/>
    </xf>
    <xf numFmtId="0" fontId="3" fillId="14" borderId="13" xfId="0" applyFont="1" applyFill="1" applyBorder="1" applyAlignment="1" applyProtection="1">
      <alignment horizontal="center" vertical="center" wrapText="1"/>
    </xf>
    <xf numFmtId="0" fontId="3" fillId="14" borderId="4" xfId="0" applyFont="1" applyFill="1" applyBorder="1" applyAlignment="1" applyProtection="1">
      <alignment horizontal="center" vertical="center" wrapText="1"/>
    </xf>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14" fillId="7" borderId="20" xfId="0" applyFont="1" applyFill="1" applyBorder="1" applyAlignment="1">
      <alignment horizontal="center"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3" fillId="0" borderId="13" xfId="0" applyFont="1" applyBorder="1" applyAlignment="1" applyProtection="1">
      <alignment horizontal="center"/>
      <protection locked="0"/>
    </xf>
    <xf numFmtId="0" fontId="16" fillId="12" borderId="0" xfId="0" applyFont="1" applyFill="1" applyAlignment="1">
      <alignment horizontal="center" vertical="center" wrapText="1"/>
    </xf>
    <xf numFmtId="0" fontId="15" fillId="6" borderId="14" xfId="0" applyFont="1" applyFill="1" applyBorder="1" applyAlignment="1">
      <alignment horizontal="center" vertical="center"/>
    </xf>
    <xf numFmtId="0" fontId="15" fillId="6" borderId="0" xfId="0" applyFont="1" applyFill="1" applyBorder="1" applyAlignment="1">
      <alignment horizontal="center" vertical="center"/>
    </xf>
    <xf numFmtId="15" fontId="14" fillId="7" borderId="20" xfId="0" applyNumberFormat="1" applyFont="1" applyFill="1" applyBorder="1" applyAlignment="1">
      <alignment horizontal="center" vertical="center"/>
    </xf>
    <xf numFmtId="15" fontId="14" fillId="7" borderId="22" xfId="0" applyNumberFormat="1" applyFont="1" applyFill="1" applyBorder="1" applyAlignment="1">
      <alignment horizontal="center" vertical="center"/>
    </xf>
    <xf numFmtId="164" fontId="14" fillId="7" borderId="19" xfId="0" applyNumberFormat="1" applyFont="1" applyFill="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1" fillId="0" borderId="6" xfId="0" applyFont="1" applyBorder="1" applyAlignment="1">
      <alignment horizontal="center" vertical="center"/>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0" fillId="9" borderId="13" xfId="0" applyFill="1" applyBorder="1" applyAlignment="1" applyProtection="1">
      <alignment horizontal="center"/>
      <protection locked="0"/>
    </xf>
    <xf numFmtId="0" fontId="0" fillId="9" borderId="15" xfId="0" applyFill="1" applyBorder="1" applyAlignment="1" applyProtection="1">
      <alignment horizontal="center"/>
      <protection locked="0"/>
    </xf>
    <xf numFmtId="0" fontId="0" fillId="9" borderId="4" xfId="0" applyFill="1" applyBorder="1" applyAlignment="1" applyProtection="1">
      <alignment horizontal="center"/>
      <protection locked="0"/>
    </xf>
    <xf numFmtId="0" fontId="6" fillId="15" borderId="0" xfId="0" applyFont="1" applyFill="1" applyBorder="1" applyAlignment="1">
      <alignment horizontal="center" vertical="center" wrapText="1"/>
    </xf>
    <xf numFmtId="0" fontId="7" fillId="11" borderId="13" xfId="0" applyFont="1" applyFill="1" applyBorder="1" applyAlignment="1" applyProtection="1">
      <alignment horizontal="center" vertical="center" wrapText="1"/>
    </xf>
    <xf numFmtId="0" fontId="7" fillId="11" borderId="15" xfId="0" applyFont="1" applyFill="1" applyBorder="1" applyAlignment="1" applyProtection="1">
      <alignment horizontal="center" vertical="center" wrapText="1"/>
    </xf>
    <xf numFmtId="0" fontId="7" fillId="11" borderId="4" xfId="0" applyFont="1" applyFill="1" applyBorder="1" applyAlignment="1" applyProtection="1">
      <alignment horizontal="center" vertical="center" wrapText="1"/>
    </xf>
    <xf numFmtId="0" fontId="0" fillId="9" borderId="13" xfId="0" applyFill="1" applyBorder="1" applyAlignment="1">
      <alignment horizontal="center"/>
    </xf>
    <xf numFmtId="0" fontId="0" fillId="9" borderId="15" xfId="0" applyFill="1" applyBorder="1" applyAlignment="1">
      <alignment horizontal="center"/>
    </xf>
    <xf numFmtId="0" fontId="0" fillId="9" borderId="4" xfId="0" applyFill="1" applyBorder="1" applyAlignment="1">
      <alignment horizontal="center"/>
    </xf>
    <xf numFmtId="0" fontId="3" fillId="9" borderId="1" xfId="0" applyFont="1" applyFill="1" applyBorder="1" applyAlignment="1" applyProtection="1">
      <alignment horizontal="center"/>
      <protection locked="0"/>
    </xf>
    <xf numFmtId="0" fontId="3" fillId="11" borderId="13" xfId="0" applyFont="1" applyFill="1" applyBorder="1" applyAlignment="1">
      <alignment horizontal="center"/>
    </xf>
    <xf numFmtId="0" fontId="3" fillId="11" borderId="15" xfId="0" applyFont="1" applyFill="1" applyBorder="1" applyAlignment="1">
      <alignment horizontal="center"/>
    </xf>
    <xf numFmtId="0" fontId="3" fillId="11" borderId="4" xfId="0" applyFont="1" applyFill="1" applyBorder="1" applyAlignment="1">
      <alignment horizontal="center"/>
    </xf>
    <xf numFmtId="0" fontId="3" fillId="9" borderId="13" xfId="0" applyFont="1" applyFill="1" applyBorder="1" applyAlignment="1">
      <alignment horizontal="center"/>
    </xf>
    <xf numFmtId="0" fontId="3" fillId="9" borderId="15" xfId="0" applyFont="1" applyFill="1" applyBorder="1" applyAlignment="1">
      <alignment horizontal="center"/>
    </xf>
    <xf numFmtId="0" fontId="3" fillId="9" borderId="4" xfId="0" applyFont="1" applyFill="1" applyBorder="1" applyAlignment="1">
      <alignment horizontal="center"/>
    </xf>
    <xf numFmtId="0" fontId="3" fillId="11" borderId="1" xfId="0" applyFont="1" applyFill="1" applyBorder="1" applyAlignment="1">
      <alignment horizontal="center"/>
    </xf>
    <xf numFmtId="0" fontId="7" fillId="11" borderId="1" xfId="0" applyFont="1" applyFill="1" applyBorder="1" applyAlignment="1" applyProtection="1">
      <alignment horizontal="center" vertical="center" wrapText="1"/>
    </xf>
    <xf numFmtId="0" fontId="7" fillId="11" borderId="1" xfId="0" applyFont="1" applyFill="1" applyBorder="1" applyAlignment="1" applyProtection="1">
      <alignment horizontal="center" vertical="center"/>
    </xf>
    <xf numFmtId="0" fontId="3" fillId="11" borderId="1" xfId="0" applyFont="1" applyFill="1" applyBorder="1" applyAlignment="1">
      <alignment horizontal="center" vertical="center"/>
    </xf>
    <xf numFmtId="0" fontId="6" fillId="15" borderId="10" xfId="0" applyFont="1" applyFill="1" applyBorder="1" applyAlignment="1">
      <alignment horizontal="center" vertical="center" wrapText="1"/>
    </xf>
    <xf numFmtId="0" fontId="3" fillId="10" borderId="1" xfId="0" applyFont="1" applyFill="1" applyBorder="1" applyAlignment="1" applyProtection="1">
      <alignment horizontal="center"/>
      <protection locked="0"/>
    </xf>
    <xf numFmtId="0" fontId="3" fillId="10" borderId="13" xfId="0" applyFont="1" applyFill="1" applyBorder="1" applyAlignment="1">
      <alignment horizontal="center"/>
    </xf>
    <xf numFmtId="0" fontId="3" fillId="10" borderId="15" xfId="0" applyFont="1" applyFill="1" applyBorder="1" applyAlignment="1">
      <alignment horizontal="center"/>
    </xf>
    <xf numFmtId="0" fontId="3" fillId="10" borderId="4" xfId="0" applyFont="1" applyFill="1" applyBorder="1" applyAlignment="1">
      <alignment horizontal="center"/>
    </xf>
    <xf numFmtId="0" fontId="0" fillId="10" borderId="13" xfId="0" applyFill="1" applyBorder="1" applyAlignment="1">
      <alignment horizontal="center"/>
    </xf>
    <xf numFmtId="0" fontId="0" fillId="10" borderId="15" xfId="0" applyFill="1" applyBorder="1" applyAlignment="1">
      <alignment horizontal="center"/>
    </xf>
    <xf numFmtId="0" fontId="0" fillId="10" borderId="4" xfId="0" applyFill="1" applyBorder="1" applyAlignment="1">
      <alignment horizontal="center"/>
    </xf>
    <xf numFmtId="0" fontId="18" fillId="6" borderId="6" xfId="0" applyFont="1" applyFill="1" applyBorder="1" applyAlignment="1" applyProtection="1">
      <alignment horizontal="center" vertical="center" wrapText="1"/>
    </xf>
    <xf numFmtId="0" fontId="18" fillId="6" borderId="12" xfId="0" applyFont="1" applyFill="1" applyBorder="1" applyAlignment="1" applyProtection="1">
      <alignment horizontal="center" vertical="center" wrapText="1"/>
    </xf>
    <xf numFmtId="0" fontId="18" fillId="6" borderId="16" xfId="0" applyFont="1" applyFill="1" applyBorder="1" applyAlignment="1" applyProtection="1">
      <alignment horizontal="center" vertical="center" wrapText="1"/>
    </xf>
    <xf numFmtId="0" fontId="18" fillId="6" borderId="8" xfId="0" applyFont="1" applyFill="1" applyBorder="1" applyAlignment="1" applyProtection="1">
      <alignment horizontal="center" vertical="center" wrapText="1"/>
    </xf>
    <xf numFmtId="49" fontId="18" fillId="6" borderId="17" xfId="0" applyNumberFormat="1" applyFont="1" applyFill="1" applyBorder="1" applyAlignment="1" applyProtection="1">
      <alignment horizontal="center" vertical="center" wrapText="1"/>
    </xf>
    <xf numFmtId="49" fontId="18" fillId="6" borderId="18" xfId="0" applyNumberFormat="1" applyFont="1" applyFill="1" applyBorder="1" applyAlignment="1" applyProtection="1">
      <alignment horizontal="center" vertical="center" wrapText="1"/>
    </xf>
    <xf numFmtId="0" fontId="18" fillId="16" borderId="1" xfId="0" applyFont="1" applyFill="1" applyBorder="1" applyAlignment="1" applyProtection="1">
      <alignment horizontal="center" vertical="center" wrapText="1"/>
    </xf>
    <xf numFmtId="164" fontId="18" fillId="6" borderId="6" xfId="0" applyNumberFormat="1" applyFont="1" applyFill="1" applyBorder="1" applyAlignment="1" applyProtection="1">
      <alignment horizontal="center" vertical="center" wrapText="1"/>
    </xf>
    <xf numFmtId="164" fontId="18" fillId="6" borderId="12" xfId="0" applyNumberFormat="1" applyFont="1" applyFill="1" applyBorder="1" applyAlignment="1" applyProtection="1">
      <alignment horizontal="center" vertical="center" wrapText="1"/>
    </xf>
    <xf numFmtId="0" fontId="17" fillId="16" borderId="1" xfId="0" applyFont="1" applyFill="1" applyBorder="1" applyAlignment="1" applyProtection="1">
      <alignment horizontal="center" vertical="center" wrapText="1"/>
    </xf>
    <xf numFmtId="0" fontId="13" fillId="6" borderId="6" xfId="0" applyFont="1" applyFill="1" applyBorder="1" applyAlignment="1" applyProtection="1">
      <alignment horizontal="center" vertical="center" wrapText="1"/>
    </xf>
    <xf numFmtId="0" fontId="13" fillId="6" borderId="12" xfId="0" applyFont="1" applyFill="1" applyBorder="1" applyAlignment="1" applyProtection="1">
      <alignment horizontal="center" vertical="center" wrapText="1"/>
    </xf>
    <xf numFmtId="0" fontId="13" fillId="6" borderId="16" xfId="0" applyFont="1" applyFill="1" applyBorder="1" applyAlignment="1" applyProtection="1">
      <alignment horizontal="center" vertical="center" wrapText="1"/>
    </xf>
    <xf numFmtId="0" fontId="13" fillId="6" borderId="8" xfId="0" applyFont="1" applyFill="1" applyBorder="1" applyAlignment="1" applyProtection="1">
      <alignment horizontal="center" vertical="center" wrapText="1"/>
    </xf>
    <xf numFmtId="164" fontId="13" fillId="6" borderId="6" xfId="0" applyNumberFormat="1" applyFont="1" applyFill="1" applyBorder="1" applyAlignment="1" applyProtection="1">
      <alignment horizontal="center" vertical="center" wrapText="1"/>
    </xf>
    <xf numFmtId="164" fontId="13" fillId="6" borderId="12" xfId="0" applyNumberFormat="1" applyFont="1" applyFill="1" applyBorder="1" applyAlignment="1" applyProtection="1">
      <alignment horizontal="center" vertical="center" wrapText="1"/>
    </xf>
    <xf numFmtId="49" fontId="13" fillId="6" borderId="17" xfId="0" applyNumberFormat="1" applyFont="1" applyFill="1" applyBorder="1" applyAlignment="1" applyProtection="1">
      <alignment horizontal="center" vertical="center" wrapText="1"/>
    </xf>
    <xf numFmtId="49" fontId="13" fillId="6" borderId="18" xfId="0" applyNumberFormat="1" applyFont="1" applyFill="1" applyBorder="1" applyAlignment="1" applyProtection="1">
      <alignment horizontal="center" vertical="center" wrapText="1"/>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6956578878"/>
          <c:y val="1.161374436038632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xmlns:c16r2="http://schemas.microsoft.com/office/drawing/2015/06/chart">
              <c:ext xmlns:c16="http://schemas.microsoft.com/office/drawing/2014/chart" uri="{C3380CC4-5D6E-409C-BE32-E72D297353CC}">
                <c16:uniqueId val="{00000001-7526-40C9-AB93-39D0DF71E047}"/>
              </c:ext>
            </c:extLst>
          </c:dPt>
          <c:dLbls>
            <c:dLbl>
              <c:idx val="1"/>
              <c:layout>
                <c:manualLayout>
                  <c:x val="-4.5798398911476275E-3"/>
                  <c:y val="-2.599397297560027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7526-40C9-AB93-39D0DF71E047}"/>
                </c:ext>
                <c:ext xmlns:c15="http://schemas.microsoft.com/office/drawing/2012/chart" uri="{CE6537A1-D6FC-4f65-9D91-7224C49458BB}">
                  <c15:layout/>
                </c:ext>
              </c:extLst>
            </c:dLbl>
            <c:dLbl>
              <c:idx val="2"/>
              <c:layout>
                <c:manualLayout>
                  <c:x val="-1.1334098701579864E-2"/>
                  <c:y val="-2.599397297560027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7526-40C9-AB93-39D0DF71E047}"/>
                </c:ext>
                <c:ext xmlns:c15="http://schemas.microsoft.com/office/drawing/2012/chart" uri="{CE6537A1-D6FC-4f65-9D91-7224C49458BB}">
                  <c15:layout/>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Data'!$C$5:$C$19</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'Reference Data'!$D$5:$D$19</c:f>
              <c:numCache>
                <c:formatCode>General</c:formatCode>
                <c:ptCount val="15"/>
                <c:pt idx="0">
                  <c:v>430</c:v>
                </c:pt>
                <c:pt idx="1">
                  <c:v>399.29</c:v>
                </c:pt>
                <c:pt idx="2">
                  <c:v>368.58</c:v>
                </c:pt>
                <c:pt idx="3">
                  <c:v>337.87</c:v>
                </c:pt>
                <c:pt idx="4">
                  <c:v>307.16000000000003</c:v>
                </c:pt>
                <c:pt idx="5">
                  <c:v>276.45</c:v>
                </c:pt>
                <c:pt idx="6">
                  <c:v>245.74</c:v>
                </c:pt>
                <c:pt idx="7">
                  <c:v>215.03</c:v>
                </c:pt>
                <c:pt idx="8">
                  <c:v>184.32</c:v>
                </c:pt>
                <c:pt idx="9">
                  <c:v>153.61000000000001</c:v>
                </c:pt>
                <c:pt idx="10">
                  <c:v>122.9</c:v>
                </c:pt>
                <c:pt idx="11">
                  <c:v>92.19</c:v>
                </c:pt>
                <c:pt idx="12">
                  <c:v>61.48</c:v>
                </c:pt>
                <c:pt idx="13">
                  <c:v>30.77</c:v>
                </c:pt>
                <c:pt idx="14">
                  <c:v>0.06</c:v>
                </c:pt>
              </c:numCache>
            </c:numRef>
          </c:val>
          <c:smooth val="0"/>
          <c:extLst xmlns:c16r2="http://schemas.microsoft.com/office/drawing/2015/06/chart">
            <c:ext xmlns:c16="http://schemas.microsoft.com/office/drawing/2014/chart" uri="{C3380CC4-5D6E-409C-BE32-E72D297353CC}">
              <c16:uniqueId val="{00000003-7526-40C9-AB93-39D0DF71E047}"/>
            </c:ext>
          </c:extLst>
        </c:ser>
        <c:dLbls>
          <c:showLegendKey val="0"/>
          <c:showVal val="0"/>
          <c:showCatName val="0"/>
          <c:showSerName val="0"/>
          <c:showPercent val="0"/>
          <c:showBubbleSize val="0"/>
        </c:dLbls>
        <c:marker val="1"/>
        <c:smooth val="0"/>
        <c:axId val="1953382448"/>
        <c:axId val="1953397136"/>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7526-40C9-AB93-39D0DF71E047}"/>
                </c:ext>
                <c:ext xmlns:c15="http://schemas.microsoft.com/office/drawing/2012/chart" uri="{CE6537A1-D6FC-4f65-9D91-7224C49458BB}">
                  <c15:layout/>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Data'!$C$5:$C$19</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'Reference Data'!$E$5:$E$19</c:f>
              <c:numCache>
                <c:formatCode>General</c:formatCode>
                <c:ptCount val="15"/>
                <c:pt idx="0">
                  <c:v>430</c:v>
                </c:pt>
                <c:pt idx="1">
                  <c:v>390</c:v>
                </c:pt>
                <c:pt idx="2">
                  <c:v>366</c:v>
                </c:pt>
                <c:pt idx="3">
                  <c:v>333</c:v>
                </c:pt>
                <c:pt idx="4">
                  <c:v>314</c:v>
                </c:pt>
                <c:pt idx="5">
                  <c:v>302</c:v>
                </c:pt>
                <c:pt idx="6">
                  <c:v>271</c:v>
                </c:pt>
                <c:pt idx="7">
                  <c:v>233</c:v>
                </c:pt>
                <c:pt idx="8">
                  <c:v>195</c:v>
                </c:pt>
                <c:pt idx="9">
                  <c:v>161</c:v>
                </c:pt>
                <c:pt idx="10">
                  <c:v>122</c:v>
                </c:pt>
                <c:pt idx="11">
                  <c:v>83</c:v>
                </c:pt>
                <c:pt idx="12">
                  <c:v>53</c:v>
                </c:pt>
                <c:pt idx="13">
                  <c:v>18</c:v>
                </c:pt>
                <c:pt idx="14">
                  <c:v>0</c:v>
                </c:pt>
              </c:numCache>
            </c:numRef>
          </c:val>
          <c:smooth val="0"/>
          <c:extLst xmlns:c16r2="http://schemas.microsoft.com/office/drawing/2015/06/chart">
            <c:ext xmlns:c16="http://schemas.microsoft.com/office/drawing/2014/chart" uri="{C3380CC4-5D6E-409C-BE32-E72D297353CC}">
              <c16:uniqueId val="{00000005-7526-40C9-AB93-39D0DF71E047}"/>
            </c:ext>
          </c:extLst>
        </c:ser>
        <c:dLbls>
          <c:showLegendKey val="0"/>
          <c:showVal val="0"/>
          <c:showCatName val="0"/>
          <c:showSerName val="0"/>
          <c:showPercent val="0"/>
          <c:showBubbleSize val="0"/>
        </c:dLbls>
        <c:marker val="1"/>
        <c:smooth val="0"/>
        <c:axId val="1953397680"/>
        <c:axId val="1953396592"/>
      </c:lineChart>
      <c:catAx>
        <c:axId val="1953382448"/>
        <c:scaling>
          <c:orientation val="minMax"/>
        </c:scaling>
        <c:delete val="0"/>
        <c:axPos val="b"/>
        <c:title>
          <c:tx>
            <c:rich>
              <a:bodyPr/>
              <a:lstStyle/>
              <a:p>
                <a:pPr algn="ctr">
                  <a:defRPr/>
                </a:pPr>
                <a:r>
                  <a:rPr lang="en-US" sz="1100"/>
                  <a:t>Days</a:t>
                </a:r>
              </a:p>
            </c:rich>
          </c:tx>
          <c:layout/>
          <c:overlay val="0"/>
        </c:title>
        <c:numFmt formatCode="General" sourceLinked="1"/>
        <c:majorTickMark val="out"/>
        <c:minorTickMark val="none"/>
        <c:tickLblPos val="nextTo"/>
        <c:crossAx val="1953397136"/>
        <c:crosses val="autoZero"/>
        <c:auto val="1"/>
        <c:lblAlgn val="ctr"/>
        <c:lblOffset val="100"/>
        <c:noMultiLvlLbl val="0"/>
      </c:catAx>
      <c:valAx>
        <c:axId val="1953397136"/>
        <c:scaling>
          <c:orientation val="minMax"/>
        </c:scaling>
        <c:delete val="1"/>
        <c:axPos val="r"/>
        <c:majorGridlines/>
        <c:title>
          <c:tx>
            <c:rich>
              <a:bodyPr/>
              <a:lstStyle/>
              <a:p>
                <a:pPr>
                  <a:defRPr sz="1100"/>
                </a:pPr>
                <a:r>
                  <a:rPr lang="en-US" sz="1100"/>
                  <a:t>Total Hours of Work Left</a:t>
                </a:r>
              </a:p>
            </c:rich>
          </c:tx>
          <c:layout>
            <c:manualLayout>
              <c:xMode val="edge"/>
              <c:yMode val="edge"/>
              <c:x val="3.2493361010286083E-2"/>
              <c:y val="0.2904097118579132"/>
            </c:manualLayout>
          </c:layout>
          <c:overlay val="0"/>
          <c:spPr>
            <a:ln w="0">
              <a:noFill/>
            </a:ln>
          </c:spPr>
        </c:title>
        <c:numFmt formatCode="General" sourceLinked="1"/>
        <c:majorTickMark val="out"/>
        <c:minorTickMark val="none"/>
        <c:tickLblPos val="nextTo"/>
        <c:crossAx val="1953382448"/>
        <c:crosses val="max"/>
        <c:crossBetween val="midCat"/>
      </c:valAx>
      <c:catAx>
        <c:axId val="1953397680"/>
        <c:scaling>
          <c:orientation val="minMax"/>
        </c:scaling>
        <c:delete val="1"/>
        <c:axPos val="b"/>
        <c:numFmt formatCode="General" sourceLinked="1"/>
        <c:majorTickMark val="out"/>
        <c:minorTickMark val="none"/>
        <c:tickLblPos val="nextTo"/>
        <c:crossAx val="1953396592"/>
        <c:crosses val="autoZero"/>
        <c:auto val="1"/>
        <c:lblAlgn val="ctr"/>
        <c:lblOffset val="100"/>
        <c:noMultiLvlLbl val="0"/>
      </c:catAx>
      <c:valAx>
        <c:axId val="1953396592"/>
        <c:scaling>
          <c:orientation val="minMax"/>
        </c:scaling>
        <c:delete val="0"/>
        <c:axPos val="l"/>
        <c:numFmt formatCode="General" sourceLinked="1"/>
        <c:majorTickMark val="out"/>
        <c:minorTickMark val="none"/>
        <c:tickLblPos val="nextTo"/>
        <c:crossAx val="1953397680"/>
        <c:crosses val="autoZero"/>
        <c:crossBetween val="midCat"/>
      </c:valAx>
      <c:spPr>
        <a:noFill/>
        <a:ln w="25400">
          <a:noFill/>
        </a:ln>
      </c:spPr>
    </c:plotArea>
    <c:legend>
      <c:legendPos val="b"/>
      <c:layout>
        <c:manualLayout>
          <c:xMode val="edge"/>
          <c:yMode val="edge"/>
          <c:x val="0.28914560937614758"/>
          <c:y val="0.91274103808919305"/>
          <c:w val="0.40020301586013091"/>
          <c:h val="7.4679978728149132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6956578878"/>
          <c:y val="1.1613696015270819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0"/>
          <c:order val="0"/>
          <c:tx>
            <c:v>Planned</c:v>
          </c:tx>
          <c:spPr>
            <a:ln w="34925">
              <a:solidFill>
                <a:srgbClr val="002060"/>
              </a:solidFill>
            </a:ln>
          </c:spPr>
          <c:dPt>
            <c:idx val="2"/>
            <c:bubble3D val="0"/>
            <c:spPr>
              <a:ln w="34925">
                <a:solidFill>
                  <a:srgbClr val="002060"/>
                </a:solidFill>
              </a:ln>
            </c:spPr>
            <c:extLst xmlns:c16r2="http://schemas.microsoft.com/office/drawing/2015/06/chart">
              <c:ext xmlns:c16="http://schemas.microsoft.com/office/drawing/2014/chart" uri="{C3380CC4-5D6E-409C-BE32-E72D297353CC}">
                <c16:uniqueId val="{00000001-A2C5-4CD2-97BA-5635218F5DFC}"/>
              </c:ext>
            </c:extLst>
          </c:dPt>
          <c:dLbls>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Data'!$H$5:$H$19</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'Reference Data'!$I$5:$I$19</c:f>
              <c:numCache>
                <c:formatCode>General</c:formatCode>
                <c:ptCount val="15"/>
                <c:pt idx="0">
                  <c:v>176</c:v>
                </c:pt>
                <c:pt idx="1">
                  <c:v>163.43</c:v>
                </c:pt>
                <c:pt idx="2">
                  <c:v>150.86000000000001</c:v>
                </c:pt>
                <c:pt idx="3">
                  <c:v>138.29</c:v>
                </c:pt>
                <c:pt idx="4">
                  <c:v>125.72</c:v>
                </c:pt>
                <c:pt idx="5">
                  <c:v>113.15</c:v>
                </c:pt>
                <c:pt idx="6">
                  <c:v>100.58</c:v>
                </c:pt>
                <c:pt idx="7">
                  <c:v>88.01</c:v>
                </c:pt>
                <c:pt idx="8">
                  <c:v>75.44</c:v>
                </c:pt>
                <c:pt idx="9">
                  <c:v>62.87</c:v>
                </c:pt>
                <c:pt idx="10">
                  <c:v>50.3</c:v>
                </c:pt>
                <c:pt idx="11">
                  <c:v>38.630000000000003</c:v>
                </c:pt>
                <c:pt idx="12">
                  <c:v>27.85</c:v>
                </c:pt>
                <c:pt idx="13">
                  <c:v>17.97</c:v>
                </c:pt>
                <c:pt idx="14">
                  <c:v>8.99</c:v>
                </c:pt>
              </c:numCache>
            </c:numRef>
          </c:val>
          <c:smooth val="0"/>
          <c:extLst xmlns:c16r2="http://schemas.microsoft.com/office/drawing/2015/06/chart">
            <c:ext xmlns:c16="http://schemas.microsoft.com/office/drawing/2014/chart" uri="{C3380CC4-5D6E-409C-BE32-E72D297353CC}">
              <c16:uniqueId val="{00000002-A2C5-4CD2-97BA-5635218F5DFC}"/>
            </c:ext>
          </c:extLst>
        </c:ser>
        <c:dLbls>
          <c:showLegendKey val="0"/>
          <c:showVal val="0"/>
          <c:showCatName val="0"/>
          <c:showSerName val="0"/>
          <c:showPercent val="0"/>
          <c:showBubbleSize val="0"/>
        </c:dLbls>
        <c:marker val="1"/>
        <c:smooth val="0"/>
        <c:axId val="1953391696"/>
        <c:axId val="1953384080"/>
      </c:lineChart>
      <c:lineChart>
        <c:grouping val="standard"/>
        <c:varyColors val="0"/>
        <c:ser>
          <c:idx val="3"/>
          <c:order val="1"/>
          <c:tx>
            <c:v>Actual</c:v>
          </c:tx>
          <c:spPr>
            <a:ln w="34925">
              <a:solidFill>
                <a:srgbClr val="C00000"/>
              </a:solidFill>
            </a:ln>
          </c:spPr>
          <c:dLbls>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Data'!$H$5:$H$19</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'Reference Data'!$J$5:$J$19</c:f>
              <c:numCache>
                <c:formatCode>General</c:formatCode>
                <c:ptCount val="15"/>
                <c:pt idx="0">
                  <c:v>176</c:v>
                </c:pt>
                <c:pt idx="1">
                  <c:v>146</c:v>
                </c:pt>
                <c:pt idx="2">
                  <c:v>114</c:v>
                </c:pt>
                <c:pt idx="3">
                  <c:v>80</c:v>
                </c:pt>
                <c:pt idx="4">
                  <c:v>54</c:v>
                </c:pt>
                <c:pt idx="5">
                  <c:v>28</c:v>
                </c:pt>
                <c:pt idx="6">
                  <c:v>0</c:v>
                </c:pt>
                <c:pt idx="7">
                  <c:v>0</c:v>
                </c:pt>
                <c:pt idx="8">
                  <c:v>0</c:v>
                </c:pt>
                <c:pt idx="9">
                  <c:v>0</c:v>
                </c:pt>
                <c:pt idx="10">
                  <c:v>0</c:v>
                </c:pt>
                <c:pt idx="11">
                  <c:v>0</c:v>
                </c:pt>
                <c:pt idx="12">
                  <c:v>0</c:v>
                </c:pt>
                <c:pt idx="13">
                  <c:v>0</c:v>
                </c:pt>
                <c:pt idx="14">
                  <c:v>0</c:v>
                </c:pt>
              </c:numCache>
            </c:numRef>
          </c:val>
          <c:smooth val="0"/>
          <c:extLst xmlns:c16r2="http://schemas.microsoft.com/office/drawing/2015/06/chart">
            <c:ext xmlns:c16="http://schemas.microsoft.com/office/drawing/2014/chart" uri="{C3380CC4-5D6E-409C-BE32-E72D297353CC}">
              <c16:uniqueId val="{00000003-A2C5-4CD2-97BA-5635218F5DFC}"/>
            </c:ext>
          </c:extLst>
        </c:ser>
        <c:dLbls>
          <c:showLegendKey val="0"/>
          <c:showVal val="0"/>
          <c:showCatName val="0"/>
          <c:showSerName val="0"/>
          <c:showPercent val="0"/>
          <c:showBubbleSize val="0"/>
        </c:dLbls>
        <c:marker val="1"/>
        <c:smooth val="0"/>
        <c:axId val="1953394960"/>
        <c:axId val="1953384624"/>
      </c:lineChart>
      <c:catAx>
        <c:axId val="1953391696"/>
        <c:scaling>
          <c:orientation val="minMax"/>
        </c:scaling>
        <c:delete val="0"/>
        <c:axPos val="b"/>
        <c:title>
          <c:tx>
            <c:rich>
              <a:bodyPr/>
              <a:lstStyle/>
              <a:p>
                <a:pPr algn="ctr">
                  <a:defRPr/>
                </a:pPr>
                <a:r>
                  <a:rPr lang="en-US" sz="1100"/>
                  <a:t>Days</a:t>
                </a:r>
              </a:p>
            </c:rich>
          </c:tx>
          <c:layout/>
          <c:overlay val="0"/>
        </c:title>
        <c:numFmt formatCode="General" sourceLinked="1"/>
        <c:majorTickMark val="out"/>
        <c:minorTickMark val="none"/>
        <c:tickLblPos val="nextTo"/>
        <c:crossAx val="1953384080"/>
        <c:crosses val="autoZero"/>
        <c:auto val="1"/>
        <c:lblAlgn val="ctr"/>
        <c:lblOffset val="100"/>
        <c:noMultiLvlLbl val="0"/>
      </c:catAx>
      <c:valAx>
        <c:axId val="1953384080"/>
        <c:scaling>
          <c:orientation val="minMax"/>
        </c:scaling>
        <c:delete val="1"/>
        <c:axPos val="r"/>
        <c:majorGridlines/>
        <c:title>
          <c:tx>
            <c:rich>
              <a:bodyPr/>
              <a:lstStyle/>
              <a:p>
                <a:pPr>
                  <a:defRPr sz="1100"/>
                </a:pPr>
                <a:r>
                  <a:rPr lang="en-US" sz="1100"/>
                  <a:t>Total Hours of Work Left</a:t>
                </a:r>
              </a:p>
            </c:rich>
          </c:tx>
          <c:layout>
            <c:manualLayout>
              <c:xMode val="edge"/>
              <c:yMode val="edge"/>
              <c:x val="3.2493361010286083E-2"/>
              <c:y val="0.29040968742543544"/>
            </c:manualLayout>
          </c:layout>
          <c:overlay val="0"/>
          <c:spPr>
            <a:ln w="0">
              <a:noFill/>
            </a:ln>
          </c:spPr>
        </c:title>
        <c:numFmt formatCode="General" sourceLinked="1"/>
        <c:majorTickMark val="out"/>
        <c:minorTickMark val="none"/>
        <c:tickLblPos val="nextTo"/>
        <c:crossAx val="1953391696"/>
        <c:crosses val="max"/>
        <c:crossBetween val="between"/>
      </c:valAx>
      <c:catAx>
        <c:axId val="1953394960"/>
        <c:scaling>
          <c:orientation val="minMax"/>
        </c:scaling>
        <c:delete val="1"/>
        <c:axPos val="b"/>
        <c:numFmt formatCode="General" sourceLinked="1"/>
        <c:majorTickMark val="out"/>
        <c:minorTickMark val="none"/>
        <c:tickLblPos val="nextTo"/>
        <c:crossAx val="1953384624"/>
        <c:crosses val="autoZero"/>
        <c:auto val="1"/>
        <c:lblAlgn val="ctr"/>
        <c:lblOffset val="100"/>
        <c:noMultiLvlLbl val="0"/>
      </c:catAx>
      <c:valAx>
        <c:axId val="1953384624"/>
        <c:scaling>
          <c:orientation val="minMax"/>
        </c:scaling>
        <c:delete val="0"/>
        <c:axPos val="l"/>
        <c:numFmt formatCode="General" sourceLinked="1"/>
        <c:majorTickMark val="out"/>
        <c:minorTickMark val="none"/>
        <c:tickLblPos val="nextTo"/>
        <c:crossAx val="1953394960"/>
        <c:crosses val="autoZero"/>
        <c:crossBetween val="between"/>
      </c:valAx>
      <c:spPr>
        <a:noFill/>
        <a:ln w="25400">
          <a:noFill/>
        </a:ln>
      </c:spPr>
    </c:plotArea>
    <c:legend>
      <c:legendPos val="b"/>
      <c:layout>
        <c:manualLayout>
          <c:xMode val="edge"/>
          <c:yMode val="edge"/>
          <c:x val="0.28914560937614758"/>
          <c:y val="0.91274111190646634"/>
          <c:w val="0.28030676577798913"/>
          <c:h val="5.5051539012168971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333375</xdr:colOff>
      <xdr:row>7</xdr:row>
      <xdr:rowOff>123825</xdr:rowOff>
    </xdr:from>
    <xdr:to>
      <xdr:col>11</xdr:col>
      <xdr:colOff>333375</xdr:colOff>
      <xdr:row>28</xdr:row>
      <xdr:rowOff>0</xdr:rowOff>
    </xdr:to>
    <xdr:graphicFrame macro="">
      <xdr:nvGraphicFramePr>
        <xdr:cNvPr id="1383020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333375</xdr:colOff>
      <xdr:row>31</xdr:row>
      <xdr:rowOff>238125</xdr:rowOff>
    </xdr:from>
    <xdr:to>
      <xdr:col>11</xdr:col>
      <xdr:colOff>333375</xdr:colOff>
      <xdr:row>45</xdr:row>
      <xdr:rowOff>57150</xdr:rowOff>
    </xdr:to>
    <xdr:graphicFrame macro="">
      <xdr:nvGraphicFramePr>
        <xdr:cNvPr id="1383020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65"/>
  <sheetViews>
    <sheetView showGridLines="0" zoomScaleNormal="100" workbookViewId="0">
      <pane ySplit="1" topLeftCell="A2" activePane="bottomLeft" state="frozen"/>
      <selection activeCell="I6" sqref="I6"/>
      <selection pane="bottomLeft" activeCell="M34" sqref="M34:N34"/>
    </sheetView>
  </sheetViews>
  <sheetFormatPr defaultRowHeight="12.75" x14ac:dyDescent="0.2"/>
  <cols>
    <col min="1" max="1" width="8.5703125" customWidth="1"/>
    <col min="2" max="2" width="11" customWidth="1"/>
    <col min="3" max="3" width="10.28515625" customWidth="1"/>
    <col min="4" max="4" width="5.28515625" customWidth="1"/>
    <col min="5" max="5" width="3.5703125" customWidth="1"/>
    <col min="6" max="6" width="18.42578125" customWidth="1"/>
    <col min="7" max="7" width="7.140625" customWidth="1"/>
    <col min="8" max="8" width="11.85546875" customWidth="1"/>
    <col min="9" max="9" width="3.85546875" customWidth="1"/>
    <col min="10" max="10" width="5.42578125" customWidth="1"/>
    <col min="11" max="11" width="11.5703125" customWidth="1"/>
    <col min="12" max="12" width="8" customWidth="1"/>
    <col min="13" max="13" width="13.28515625" customWidth="1"/>
    <col min="14" max="14" width="2.5703125" customWidth="1"/>
    <col min="15" max="15" width="19" customWidth="1"/>
    <col min="16" max="16" width="5.28515625" customWidth="1"/>
    <col min="17" max="17" width="4" customWidth="1"/>
    <col min="18" max="18" width="2.7109375" customWidth="1"/>
    <col min="19" max="19" width="5" hidden="1" customWidth="1"/>
    <col min="20" max="20" width="4.7109375" hidden="1" customWidth="1"/>
    <col min="21" max="21" width="17.7109375" customWidth="1"/>
    <col min="22" max="22" width="14.85546875" customWidth="1"/>
    <col min="23" max="23" width="3.7109375" customWidth="1"/>
    <col min="24" max="28" width="3.85546875" customWidth="1"/>
    <col min="29" max="29" width="4.7109375" customWidth="1"/>
    <col min="30" max="35" width="3.85546875" customWidth="1"/>
    <col min="36" max="43" width="4.28515625" customWidth="1"/>
  </cols>
  <sheetData>
    <row r="1" spans="1:35" ht="42" customHeight="1" x14ac:dyDescent="0.2">
      <c r="A1" s="159" t="s">
        <v>9</v>
      </c>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row>
    <row r="3" spans="1:35" ht="19.5" customHeight="1" x14ac:dyDescent="0.2">
      <c r="A3" s="55" t="s">
        <v>11</v>
      </c>
      <c r="B3" s="56">
        <f ca="1">NOW()</f>
        <v>43600.791972222221</v>
      </c>
      <c r="C3" s="154" t="s">
        <v>13</v>
      </c>
      <c r="D3" s="156"/>
      <c r="E3" s="55">
        <v>2</v>
      </c>
      <c r="F3" s="55" t="s">
        <v>12</v>
      </c>
      <c r="G3" s="55">
        <v>14</v>
      </c>
      <c r="H3" s="57" t="s">
        <v>55</v>
      </c>
      <c r="I3" s="57">
        <f>'Capacity Planning'!I2</f>
        <v>7</v>
      </c>
      <c r="J3" s="57"/>
      <c r="K3" s="154" t="s">
        <v>42</v>
      </c>
      <c r="L3" s="156"/>
      <c r="M3" s="161">
        <f>'Sprint I Backlog'!D5</f>
        <v>43570</v>
      </c>
      <c r="N3" s="162"/>
      <c r="O3" s="55" t="s">
        <v>43</v>
      </c>
      <c r="P3" s="161">
        <f>'Sprint II Backlog'!D5</f>
        <v>43599</v>
      </c>
      <c r="Q3" s="156"/>
      <c r="R3" s="156"/>
      <c r="S3" s="156"/>
      <c r="T3" s="155"/>
      <c r="U3" s="58"/>
      <c r="V3" s="59"/>
      <c r="W3" s="154"/>
      <c r="X3" s="156"/>
      <c r="Y3" s="156"/>
      <c r="Z3" s="156"/>
      <c r="AA3" s="155"/>
      <c r="AB3" s="163"/>
      <c r="AC3" s="163"/>
      <c r="AD3" s="154"/>
      <c r="AE3" s="155"/>
      <c r="AF3" s="55"/>
      <c r="AG3" s="60"/>
      <c r="AH3" s="60"/>
      <c r="AI3" s="61"/>
    </row>
    <row r="4" spans="1:35" ht="15" customHeight="1" x14ac:dyDescent="0.2"/>
    <row r="5" spans="1:35" ht="21" customHeight="1" x14ac:dyDescent="0.2">
      <c r="A5" s="158" t="s">
        <v>46</v>
      </c>
      <c r="B5" s="158"/>
      <c r="C5" s="158"/>
      <c r="D5" s="158"/>
      <c r="E5" s="158"/>
      <c r="F5" s="158"/>
      <c r="G5" s="158"/>
      <c r="H5" s="158"/>
      <c r="I5" s="158"/>
      <c r="J5" s="158"/>
      <c r="K5" s="158"/>
      <c r="L5" s="158"/>
      <c r="M5" s="158"/>
      <c r="N5" s="158"/>
      <c r="O5" s="158"/>
    </row>
    <row r="6" spans="1:35" ht="12" customHeight="1" x14ac:dyDescent="0.2">
      <c r="A6" s="158"/>
      <c r="B6" s="158"/>
      <c r="C6" s="158"/>
      <c r="D6" s="158"/>
      <c r="E6" s="158"/>
      <c r="F6" s="158"/>
      <c r="G6" s="158"/>
      <c r="H6" s="158"/>
      <c r="I6" s="158"/>
      <c r="J6" s="158"/>
      <c r="K6" s="158"/>
      <c r="L6" s="158"/>
      <c r="M6" s="158"/>
      <c r="N6" s="158"/>
      <c r="O6" s="158"/>
    </row>
    <row r="7" spans="1:35" ht="22.5" customHeight="1" x14ac:dyDescent="0.2"/>
    <row r="10" spans="1:35" ht="32.25" customHeight="1" x14ac:dyDescent="0.2">
      <c r="M10" s="150" t="s">
        <v>44</v>
      </c>
      <c r="N10" s="151"/>
    </row>
    <row r="11" spans="1:35" ht="27" customHeight="1" x14ac:dyDescent="0.2">
      <c r="M11" s="157" t="s">
        <v>77</v>
      </c>
      <c r="N11" s="153"/>
    </row>
    <row r="12" spans="1:35" ht="18" customHeight="1" x14ac:dyDescent="0.2"/>
    <row r="13" spans="1:35" ht="22.5" customHeight="1" x14ac:dyDescent="0.2">
      <c r="B13" s="16"/>
      <c r="M13" s="44"/>
      <c r="N13" s="44"/>
      <c r="O13" s="44"/>
    </row>
    <row r="14" spans="1:35" ht="17.25" customHeight="1" x14ac:dyDescent="0.2">
      <c r="M14" s="44"/>
      <c r="N14" s="44"/>
      <c r="O14" s="44"/>
    </row>
    <row r="15" spans="1:35" ht="23.25" customHeight="1" x14ac:dyDescent="0.2">
      <c r="M15" s="44"/>
      <c r="N15" s="44"/>
      <c r="O15" s="44"/>
    </row>
    <row r="16" spans="1:35" ht="15" customHeight="1" x14ac:dyDescent="0.2">
      <c r="M16" s="44"/>
      <c r="N16" s="44"/>
      <c r="O16" s="44"/>
    </row>
    <row r="17" spans="13:15" ht="17.25" customHeight="1" x14ac:dyDescent="0.2">
      <c r="M17" s="44"/>
      <c r="N17" s="44"/>
      <c r="O17" s="44"/>
    </row>
    <row r="18" spans="13:15" ht="15.75" customHeight="1" x14ac:dyDescent="0.2">
      <c r="M18" s="44"/>
      <c r="N18" s="44"/>
      <c r="O18" s="44"/>
    </row>
    <row r="19" spans="13:15" x14ac:dyDescent="0.2">
      <c r="M19" s="44"/>
      <c r="N19" s="44"/>
      <c r="O19" s="44"/>
    </row>
    <row r="20" spans="13:15" x14ac:dyDescent="0.2">
      <c r="M20" s="44"/>
      <c r="N20" s="44"/>
      <c r="O20" s="44"/>
    </row>
    <row r="21" spans="13:15" ht="20.25" customHeight="1" x14ac:dyDescent="0.2">
      <c r="M21" s="44"/>
      <c r="N21" s="44"/>
      <c r="O21" s="44"/>
    </row>
    <row r="22" spans="13:15" ht="18" customHeight="1" x14ac:dyDescent="0.2">
      <c r="M22" s="44"/>
      <c r="N22" s="44"/>
      <c r="O22" s="44"/>
    </row>
    <row r="23" spans="13:15" x14ac:dyDescent="0.2">
      <c r="M23" s="44"/>
      <c r="N23" s="44"/>
      <c r="O23" s="44"/>
    </row>
    <row r="24" spans="13:15" x14ac:dyDescent="0.2">
      <c r="M24" s="44"/>
      <c r="N24" s="44"/>
      <c r="O24" s="44"/>
    </row>
    <row r="31" spans="13:15" ht="9.75" customHeight="1" x14ac:dyDescent="0.2"/>
    <row r="32" spans="13:15" ht="45" customHeight="1" x14ac:dyDescent="0.2"/>
    <row r="33" spans="13:14" ht="27.75" customHeight="1" x14ac:dyDescent="0.2">
      <c r="M33" s="150" t="s">
        <v>45</v>
      </c>
      <c r="N33" s="151"/>
    </row>
    <row r="34" spans="13:14" ht="26.25" customHeight="1" x14ac:dyDescent="0.2">
      <c r="M34" s="152" t="s">
        <v>77</v>
      </c>
      <c r="N34" s="153"/>
    </row>
    <row r="35" spans="13:14" ht="25.5" customHeight="1" x14ac:dyDescent="0.2"/>
    <row r="36" spans="13:14" ht="23.25" customHeight="1" x14ac:dyDescent="0.2"/>
    <row r="37" spans="13:14" ht="23.25" customHeight="1" x14ac:dyDescent="0.2"/>
    <row r="38" spans="13:14" ht="21.75" customHeight="1" x14ac:dyDescent="0.2"/>
    <row r="39" spans="13:14" ht="20.25" customHeight="1" x14ac:dyDescent="0.2"/>
    <row r="40" spans="13:14" ht="24" customHeight="1" x14ac:dyDescent="0.2"/>
    <row r="41" spans="13:14" ht="23.25" customHeight="1" x14ac:dyDescent="0.2"/>
    <row r="42" spans="13:14" ht="21.75" customHeight="1" x14ac:dyDescent="0.2"/>
    <row r="43" spans="13:14" ht="21.75" customHeight="1" x14ac:dyDescent="0.2"/>
    <row r="44" spans="13:14" ht="18" customHeight="1" x14ac:dyDescent="0.2"/>
    <row r="45" spans="13:14" ht="22.5" customHeight="1" x14ac:dyDescent="0.2"/>
    <row r="46" spans="13:14" ht="21" customHeight="1" x14ac:dyDescent="0.2"/>
    <row r="47" spans="13:14" ht="18.75" customHeight="1" x14ac:dyDescent="0.2"/>
    <row r="48" spans="13:14" ht="18" customHeight="1" x14ac:dyDescent="0.2"/>
    <row r="49" ht="15" customHeight="1" x14ac:dyDescent="0.2"/>
    <row r="50" ht="24.75" customHeight="1" x14ac:dyDescent="0.2"/>
    <row r="51" ht="29.25" customHeight="1" x14ac:dyDescent="0.2"/>
    <row r="52" ht="22.5" customHeight="1" x14ac:dyDescent="0.2"/>
    <row r="53" ht="20.25" customHeight="1" x14ac:dyDescent="0.2"/>
    <row r="54" ht="24" customHeight="1" x14ac:dyDescent="0.2"/>
    <row r="55" ht="24" customHeight="1" x14ac:dyDescent="0.2"/>
    <row r="56" ht="21" customHeight="1" x14ac:dyDescent="0.2"/>
    <row r="57" ht="33" customHeight="1" x14ac:dyDescent="0.2"/>
    <row r="58" ht="30.75" customHeight="1" x14ac:dyDescent="0.2"/>
    <row r="59" ht="27" customHeight="1" x14ac:dyDescent="0.2"/>
    <row r="60" ht="27.75" customHeight="1" x14ac:dyDescent="0.2"/>
    <row r="61" ht="29.25" customHeight="1" x14ac:dyDescent="0.2"/>
    <row r="62" ht="32.25" customHeight="1" x14ac:dyDescent="0.2"/>
    <row r="63" ht="19.5" customHeight="1" x14ac:dyDescent="0.2"/>
    <row r="64" ht="17.25" customHeight="1" x14ac:dyDescent="0.2"/>
    <row r="65" ht="18.75" customHeight="1" x14ac:dyDescent="0.2"/>
  </sheetData>
  <sheetProtection password="E403" sheet="1" objects="1" scenarios="1"/>
  <mergeCells count="13">
    <mergeCell ref="A1:AI1"/>
    <mergeCell ref="P3:T3"/>
    <mergeCell ref="K3:L3"/>
    <mergeCell ref="C3:D3"/>
    <mergeCell ref="M3:N3"/>
    <mergeCell ref="AB3:AC3"/>
    <mergeCell ref="M33:N33"/>
    <mergeCell ref="M34:N34"/>
    <mergeCell ref="AD3:AE3"/>
    <mergeCell ref="W3:AA3"/>
    <mergeCell ref="M11:N11"/>
    <mergeCell ref="M10:N10"/>
    <mergeCell ref="A5:O6"/>
  </mergeCells>
  <dataValidations count="2">
    <dataValidation type="list" allowBlank="1" showInputMessage="1" showErrorMessage="1" sqref="M34:N34">
      <formula1>"DAY 1,DAY 2,DAY 3,DAY 4,DAY 5,DAY 6,DAY 7,DAY 8,DAY 9,DAY 10,DAY 11,DAY 12,DAY 13,DAY 14,COMPLETED"</formula1>
    </dataValidation>
    <dataValidation type="list" allowBlank="1" showInputMessage="1" showErrorMessage="1" sqref="M11:N11">
      <formula1>"DAY 1,DAY 2,DAY 3,DAY 4,DAY 5,DAY 6,DAY 7,DAY 8,DAY 9,DAY 10,DAY 11,DAY 12,DAY 13,DAY 14,COMPLETED"</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5"/>
  <sheetViews>
    <sheetView zoomScale="70" zoomScaleNormal="70" workbookViewId="0">
      <selection activeCell="K9" sqref="K9"/>
    </sheetView>
  </sheetViews>
  <sheetFormatPr defaultRowHeight="12.75" x14ac:dyDescent="0.2"/>
  <cols>
    <col min="2" max="2" width="12.42578125" customWidth="1"/>
    <col min="3" max="3" width="111.140625" customWidth="1"/>
    <col min="4" max="4" width="24.5703125" customWidth="1"/>
    <col min="5" max="5" width="15.5703125" customWidth="1"/>
    <col min="6" max="6" width="15.140625" customWidth="1"/>
    <col min="7" max="7" width="14.140625" customWidth="1"/>
  </cols>
  <sheetData>
    <row r="1" spans="1:7" s="106" customFormat="1" ht="35.1" customHeight="1" x14ac:dyDescent="0.2">
      <c r="A1" s="125" t="s">
        <v>28</v>
      </c>
      <c r="B1" s="126" t="s">
        <v>1</v>
      </c>
      <c r="C1" s="126" t="s">
        <v>6</v>
      </c>
      <c r="D1" s="126" t="s">
        <v>14</v>
      </c>
      <c r="E1" s="126" t="s">
        <v>54</v>
      </c>
      <c r="F1" s="126" t="s">
        <v>125</v>
      </c>
      <c r="G1" s="126" t="s">
        <v>0</v>
      </c>
    </row>
    <row r="2" spans="1:7" ht="35.1" customHeight="1" x14ac:dyDescent="0.2">
      <c r="A2" s="121" t="s">
        <v>71</v>
      </c>
      <c r="B2" s="122" t="s">
        <v>81</v>
      </c>
      <c r="C2" s="123" t="s">
        <v>175</v>
      </c>
      <c r="D2" s="122" t="s">
        <v>169</v>
      </c>
      <c r="E2" s="122"/>
      <c r="F2" s="122">
        <v>1363</v>
      </c>
      <c r="G2" s="122" t="s">
        <v>73</v>
      </c>
    </row>
    <row r="3" spans="1:7" ht="35.1" customHeight="1" x14ac:dyDescent="0.2">
      <c r="A3" s="121" t="s">
        <v>71</v>
      </c>
      <c r="B3" s="122" t="s">
        <v>97</v>
      </c>
      <c r="C3" s="124" t="s">
        <v>173</v>
      </c>
      <c r="D3" s="122" t="s">
        <v>169</v>
      </c>
      <c r="E3" s="122" t="s">
        <v>81</v>
      </c>
      <c r="F3" s="122">
        <v>1363</v>
      </c>
      <c r="G3" s="122" t="s">
        <v>73</v>
      </c>
    </row>
    <row r="4" spans="1:7" ht="35.1" customHeight="1" x14ac:dyDescent="0.2">
      <c r="A4" s="121" t="s">
        <v>71</v>
      </c>
      <c r="B4" s="122" t="s">
        <v>98</v>
      </c>
      <c r="C4" s="124" t="s">
        <v>176</v>
      </c>
      <c r="D4" s="122" t="s">
        <v>72</v>
      </c>
      <c r="E4" s="122"/>
      <c r="F4" s="122">
        <v>1363</v>
      </c>
      <c r="G4" s="122" t="s">
        <v>73</v>
      </c>
    </row>
    <row r="5" spans="1:7" ht="39.75" customHeight="1" x14ac:dyDescent="0.2">
      <c r="A5" s="121" t="s">
        <v>71</v>
      </c>
      <c r="B5" s="122" t="s">
        <v>99</v>
      </c>
      <c r="C5" s="124" t="s">
        <v>177</v>
      </c>
      <c r="D5" s="122" t="s">
        <v>72</v>
      </c>
      <c r="E5" s="122"/>
      <c r="F5" s="122">
        <v>1363</v>
      </c>
      <c r="G5" s="122" t="s">
        <v>73</v>
      </c>
    </row>
    <row r="6" spans="1:7" ht="37.5" customHeight="1" x14ac:dyDescent="0.2">
      <c r="A6" s="121" t="s">
        <v>71</v>
      </c>
      <c r="B6" s="122" t="s">
        <v>103</v>
      </c>
      <c r="C6" s="124" t="s">
        <v>178</v>
      </c>
      <c r="D6" s="122" t="s">
        <v>72</v>
      </c>
      <c r="E6" s="122" t="s">
        <v>99</v>
      </c>
      <c r="F6" s="122">
        <v>1363</v>
      </c>
      <c r="G6" s="122" t="s">
        <v>73</v>
      </c>
    </row>
    <row r="7" spans="1:7" ht="53.25" customHeight="1" x14ac:dyDescent="0.2">
      <c r="A7" s="121" t="s">
        <v>71</v>
      </c>
      <c r="B7" s="122" t="s">
        <v>105</v>
      </c>
      <c r="C7" s="124" t="s">
        <v>180</v>
      </c>
      <c r="D7" s="122" t="s">
        <v>72</v>
      </c>
      <c r="E7" s="122" t="s">
        <v>103</v>
      </c>
      <c r="F7" s="122">
        <v>1363</v>
      </c>
      <c r="G7" s="122" t="s">
        <v>73</v>
      </c>
    </row>
    <row r="8" spans="1:7" ht="37.5" customHeight="1" x14ac:dyDescent="0.2">
      <c r="A8" s="121" t="s">
        <v>71</v>
      </c>
      <c r="B8" s="122" t="s">
        <v>109</v>
      </c>
      <c r="C8" s="124" t="s">
        <v>179</v>
      </c>
      <c r="D8" s="122" t="s">
        <v>72</v>
      </c>
      <c r="E8" s="122" t="s">
        <v>105</v>
      </c>
      <c r="F8" s="122">
        <v>1363</v>
      </c>
      <c r="G8" s="122" t="s">
        <v>73</v>
      </c>
    </row>
    <row r="9" spans="1:7" ht="35.1" customHeight="1" x14ac:dyDescent="0.2">
      <c r="A9" s="121" t="s">
        <v>71</v>
      </c>
      <c r="B9" s="122" t="s">
        <v>112</v>
      </c>
      <c r="C9" s="124" t="s">
        <v>174</v>
      </c>
      <c r="D9" s="122" t="s">
        <v>72</v>
      </c>
      <c r="E9" s="122" t="s">
        <v>109</v>
      </c>
      <c r="F9" s="122">
        <v>1363</v>
      </c>
      <c r="G9" s="122" t="s">
        <v>73</v>
      </c>
    </row>
    <row r="10" spans="1:7" ht="39" customHeight="1" x14ac:dyDescent="0.2">
      <c r="A10" s="121" t="s">
        <v>78</v>
      </c>
      <c r="B10" s="122" t="s">
        <v>123</v>
      </c>
      <c r="C10" s="124" t="s">
        <v>170</v>
      </c>
      <c r="D10" s="122" t="s">
        <v>131</v>
      </c>
      <c r="E10" s="122" t="s">
        <v>112</v>
      </c>
      <c r="F10" s="122">
        <v>1363</v>
      </c>
      <c r="G10" s="122" t="s">
        <v>73</v>
      </c>
    </row>
    <row r="11" spans="1:7" ht="35.1" customHeight="1" x14ac:dyDescent="0.2">
      <c r="A11" s="121" t="s">
        <v>78</v>
      </c>
      <c r="B11" s="122" t="s">
        <v>124</v>
      </c>
      <c r="C11" s="124" t="s">
        <v>171</v>
      </c>
      <c r="D11" s="122" t="s">
        <v>131</v>
      </c>
      <c r="E11" s="122" t="s">
        <v>97</v>
      </c>
      <c r="F11" s="122">
        <v>1363</v>
      </c>
      <c r="G11" s="122" t="s">
        <v>73</v>
      </c>
    </row>
    <row r="12" spans="1:7" ht="35.1" customHeight="1" x14ac:dyDescent="0.2">
      <c r="A12" s="121" t="s">
        <v>78</v>
      </c>
      <c r="B12" s="122" t="s">
        <v>161</v>
      </c>
      <c r="C12" s="124" t="s">
        <v>172</v>
      </c>
      <c r="D12" s="122" t="s">
        <v>131</v>
      </c>
      <c r="E12" s="122" t="s">
        <v>103</v>
      </c>
      <c r="F12" s="122">
        <v>1363</v>
      </c>
      <c r="G12" s="122" t="s">
        <v>162</v>
      </c>
    </row>
    <row r="13" spans="1:7" ht="35.1" customHeight="1" x14ac:dyDescent="0.2">
      <c r="A13" s="4"/>
      <c r="B13" s="4"/>
      <c r="C13" s="20"/>
      <c r="D13" s="15"/>
      <c r="E13" s="10"/>
      <c r="F13" s="10"/>
      <c r="G13" s="11"/>
    </row>
    <row r="14" spans="1:7" ht="35.1" customHeight="1" x14ac:dyDescent="0.2">
      <c r="A14" s="4"/>
      <c r="B14" s="4"/>
      <c r="C14" s="20"/>
      <c r="D14" s="15"/>
      <c r="E14" s="10"/>
      <c r="F14" s="10"/>
      <c r="G14" s="11"/>
    </row>
    <row r="15" spans="1:7" ht="35.1" customHeight="1" x14ac:dyDescent="0.2">
      <c r="A15" s="4"/>
      <c r="B15" s="4"/>
      <c r="C15" s="20"/>
      <c r="D15" s="19"/>
      <c r="E15" s="10"/>
      <c r="F15" s="10"/>
      <c r="G15" s="10"/>
    </row>
    <row r="16" spans="1:7" ht="35.1" customHeight="1" x14ac:dyDescent="0.2">
      <c r="A16" s="4"/>
      <c r="B16" s="4"/>
      <c r="C16" s="20"/>
      <c r="D16" s="15"/>
      <c r="E16" s="10"/>
      <c r="F16" s="10"/>
      <c r="G16" s="11"/>
    </row>
    <row r="17" spans="1:7" ht="35.1" customHeight="1" x14ac:dyDescent="0.2">
      <c r="A17" s="4"/>
      <c r="B17" s="4"/>
      <c r="C17" s="20"/>
      <c r="D17" s="15"/>
      <c r="E17" s="10"/>
      <c r="F17" s="10"/>
      <c r="G17" s="11"/>
    </row>
    <row r="18" spans="1:7" ht="35.1" customHeight="1" x14ac:dyDescent="0.2">
      <c r="A18" s="4"/>
      <c r="B18" s="4"/>
      <c r="C18" s="20"/>
      <c r="D18" s="15"/>
      <c r="E18" s="10"/>
      <c r="F18" s="10"/>
      <c r="G18" s="11"/>
    </row>
    <row r="19" spans="1:7" ht="35.1" customHeight="1" x14ac:dyDescent="0.2">
      <c r="A19" s="4"/>
      <c r="B19" s="4"/>
      <c r="C19" s="20"/>
      <c r="D19" s="19"/>
      <c r="E19" s="10"/>
      <c r="F19" s="10"/>
      <c r="G19" s="10"/>
    </row>
    <row r="20" spans="1:7" ht="35.1" customHeight="1" x14ac:dyDescent="0.2">
      <c r="A20" s="4"/>
      <c r="B20" s="4"/>
      <c r="C20" s="20"/>
      <c r="D20" s="15"/>
      <c r="E20" s="10"/>
      <c r="F20" s="10"/>
      <c r="G20" s="11"/>
    </row>
    <row r="21" spans="1:7" ht="35.1" customHeight="1" x14ac:dyDescent="0.2">
      <c r="A21" s="4"/>
      <c r="B21" s="4"/>
      <c r="C21" s="20"/>
      <c r="D21" s="15"/>
      <c r="E21" s="10"/>
      <c r="F21" s="10"/>
      <c r="G21" s="11"/>
    </row>
    <row r="22" spans="1:7" ht="35.1" customHeight="1" x14ac:dyDescent="0.2">
      <c r="A22" s="4"/>
      <c r="B22" s="4"/>
      <c r="C22" s="20"/>
      <c r="D22" s="15"/>
      <c r="E22" s="10"/>
      <c r="F22" s="10"/>
      <c r="G22" s="11"/>
    </row>
    <row r="23" spans="1:7" ht="35.1" customHeight="1" x14ac:dyDescent="0.2">
      <c r="A23" s="4"/>
      <c r="B23" s="4"/>
      <c r="C23" s="20"/>
      <c r="D23" s="19"/>
      <c r="E23" s="10"/>
      <c r="F23" s="10"/>
      <c r="G23" s="10"/>
    </row>
    <row r="24" spans="1:7" ht="35.1" customHeight="1" x14ac:dyDescent="0.2">
      <c r="A24" s="4"/>
      <c r="B24" s="4"/>
      <c r="C24" s="20"/>
      <c r="D24" s="15"/>
      <c r="E24" s="10"/>
      <c r="F24" s="10"/>
      <c r="G24" s="11"/>
    </row>
    <row r="25" spans="1:7" ht="35.1" customHeight="1" x14ac:dyDescent="0.2">
      <c r="A25" s="4"/>
      <c r="B25" s="4"/>
      <c r="C25" s="20"/>
      <c r="D25" s="15"/>
      <c r="E25" s="10"/>
      <c r="F25" s="10"/>
      <c r="G25" s="11"/>
    </row>
    <row r="26" spans="1:7" ht="35.1" customHeight="1" x14ac:dyDescent="0.2">
      <c r="A26" s="4"/>
      <c r="B26" s="4"/>
      <c r="C26" s="20"/>
      <c r="D26" s="15"/>
      <c r="E26" s="10"/>
      <c r="F26" s="10"/>
      <c r="G26" s="11"/>
    </row>
    <row r="27" spans="1:7" ht="35.1" customHeight="1" x14ac:dyDescent="0.2">
      <c r="A27" s="4"/>
      <c r="B27" s="4"/>
      <c r="C27" s="20"/>
      <c r="D27" s="19"/>
      <c r="E27" s="10"/>
      <c r="F27" s="10"/>
      <c r="G27" s="10"/>
    </row>
    <row r="28" spans="1:7" ht="35.1" customHeight="1" x14ac:dyDescent="0.2">
      <c r="A28" s="4"/>
      <c r="B28" s="4"/>
      <c r="C28" s="20"/>
      <c r="D28" s="15"/>
      <c r="E28" s="10"/>
      <c r="F28" s="10"/>
      <c r="G28" s="11"/>
    </row>
    <row r="29" spans="1:7" ht="35.1" customHeight="1" x14ac:dyDescent="0.2">
      <c r="A29" s="4"/>
      <c r="B29" s="4"/>
      <c r="C29" s="20"/>
      <c r="D29" s="15"/>
      <c r="E29" s="10"/>
      <c r="F29" s="10"/>
      <c r="G29" s="11"/>
    </row>
    <row r="30" spans="1:7" ht="35.1" customHeight="1" x14ac:dyDescent="0.2">
      <c r="A30" s="4"/>
      <c r="B30" s="4"/>
      <c r="C30" s="20"/>
      <c r="D30" s="15"/>
      <c r="E30" s="10"/>
      <c r="F30" s="10"/>
      <c r="G30" s="11"/>
    </row>
    <row r="31" spans="1:7" ht="35.1" customHeight="1" x14ac:dyDescent="0.2">
      <c r="A31" s="4"/>
      <c r="B31" s="4"/>
      <c r="C31" s="20"/>
      <c r="D31" s="19"/>
      <c r="E31" s="10"/>
      <c r="F31" s="10"/>
      <c r="G31" s="10"/>
    </row>
    <row r="32" spans="1:7" ht="35.1" customHeight="1" x14ac:dyDescent="0.2">
      <c r="A32" s="4"/>
      <c r="B32" s="4"/>
      <c r="C32" s="20"/>
      <c r="D32" s="15"/>
      <c r="E32" s="10"/>
      <c r="F32" s="10"/>
      <c r="G32" s="11"/>
    </row>
    <row r="33" spans="1:7" ht="35.1" customHeight="1" x14ac:dyDescent="0.2">
      <c r="A33" s="4"/>
      <c r="B33" s="4"/>
      <c r="C33" s="20"/>
      <c r="D33" s="15"/>
      <c r="E33" s="10"/>
      <c r="F33" s="10"/>
      <c r="G33" s="11"/>
    </row>
    <row r="34" spans="1:7" ht="35.1" customHeight="1" x14ac:dyDescent="0.2">
      <c r="A34" s="4"/>
      <c r="B34" s="4"/>
      <c r="C34" s="20"/>
      <c r="D34" s="15"/>
      <c r="E34" s="10"/>
      <c r="F34" s="10"/>
      <c r="G34" s="11"/>
    </row>
    <row r="35" spans="1:7" ht="35.1" customHeight="1" x14ac:dyDescent="0.2">
      <c r="A35" s="4"/>
      <c r="B35" s="4"/>
      <c r="C35" s="20"/>
      <c r="D35" s="19"/>
      <c r="E35" s="10"/>
      <c r="F35" s="10"/>
      <c r="G35" s="10"/>
    </row>
    <row r="36" spans="1:7" ht="35.1" customHeight="1" x14ac:dyDescent="0.2">
      <c r="A36" s="4"/>
      <c r="B36" s="4"/>
      <c r="C36" s="20"/>
      <c r="D36" s="19"/>
      <c r="E36" s="10"/>
      <c r="F36" s="10"/>
      <c r="G36" s="10"/>
    </row>
    <row r="37" spans="1:7" ht="35.1" customHeight="1" x14ac:dyDescent="0.2">
      <c r="A37" s="4"/>
      <c r="B37" s="4"/>
      <c r="C37" s="20"/>
      <c r="D37" s="15"/>
      <c r="E37" s="10"/>
      <c r="F37" s="10"/>
      <c r="G37" s="11"/>
    </row>
    <row r="38" spans="1:7" ht="35.1" customHeight="1" x14ac:dyDescent="0.2">
      <c r="A38" s="4"/>
      <c r="B38" s="4"/>
      <c r="C38" s="20"/>
      <c r="D38" s="15"/>
      <c r="E38" s="10"/>
      <c r="F38" s="10"/>
      <c r="G38" s="11"/>
    </row>
    <row r="39" spans="1:7" ht="35.1" customHeight="1" x14ac:dyDescent="0.2">
      <c r="A39" s="4"/>
      <c r="B39" s="4"/>
      <c r="C39" s="20"/>
      <c r="D39" s="15"/>
      <c r="E39" s="10"/>
      <c r="F39" s="10"/>
      <c r="G39" s="11"/>
    </row>
    <row r="40" spans="1:7" ht="35.1" customHeight="1" x14ac:dyDescent="0.2">
      <c r="A40" s="4"/>
      <c r="B40" s="4"/>
      <c r="C40" s="20"/>
      <c r="D40" s="19"/>
      <c r="E40" s="10"/>
      <c r="F40" s="10"/>
      <c r="G40" s="10"/>
    </row>
    <row r="41" spans="1:7" ht="35.1" customHeight="1" x14ac:dyDescent="0.2">
      <c r="A41" s="4"/>
      <c r="B41" s="4"/>
      <c r="C41" s="20"/>
      <c r="D41" s="19"/>
      <c r="E41" s="10"/>
      <c r="F41" s="10"/>
      <c r="G41" s="10"/>
    </row>
    <row r="42" spans="1:7" ht="35.1" customHeight="1" x14ac:dyDescent="0.2">
      <c r="A42" s="4"/>
      <c r="B42" s="4"/>
      <c r="C42" s="20"/>
      <c r="D42" s="15"/>
      <c r="E42" s="10"/>
      <c r="F42" s="10"/>
      <c r="G42" s="11"/>
    </row>
    <row r="43" spans="1:7" ht="35.1" customHeight="1" x14ac:dyDescent="0.2">
      <c r="A43" s="4"/>
      <c r="B43" s="4"/>
      <c r="C43" s="20"/>
      <c r="D43" s="15"/>
      <c r="E43" s="10"/>
      <c r="F43" s="10"/>
      <c r="G43" s="11"/>
    </row>
    <row r="44" spans="1:7" ht="35.1" customHeight="1" x14ac:dyDescent="0.2"/>
    <row r="45" spans="1:7" ht="35.1" customHeight="1" x14ac:dyDescent="0.2"/>
  </sheetData>
  <conditionalFormatting sqref="A1:G1">
    <cfRule type="colorScale" priority="1">
      <colorScale>
        <cfvo type="min"/>
        <cfvo type="max"/>
        <color rgb="FFFCFCFF"/>
        <color rgb="FFF8696B"/>
      </colorScale>
    </cfRule>
  </conditionalFormatting>
  <dataValidations count="2">
    <dataValidation type="list" allowBlank="1" showInputMessage="1" showErrorMessage="1" sqref="G2:G12">
      <formula1>"1- Not Started, 2- In Progress, 3- Completed"</formula1>
    </dataValidation>
    <dataValidation type="list" allowBlank="1" showInputMessage="1" showErrorMessage="1" sqref="D2:D12 E13:E43">
      <formula1>"MUST HAVE, SHOULD HAVE, COULD HAVE, WON'T HAVE"</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AA227"/>
  <sheetViews>
    <sheetView showGridLines="0" zoomScaleNormal="100" workbookViewId="0">
      <selection activeCell="I14" sqref="I14"/>
    </sheetView>
  </sheetViews>
  <sheetFormatPr defaultRowHeight="12.75" x14ac:dyDescent="0.2"/>
  <cols>
    <col min="1" max="1" width="2.7109375" customWidth="1"/>
    <col min="2" max="2" width="8.140625" customWidth="1"/>
    <col min="3" max="3" width="11.5703125" customWidth="1"/>
    <col min="4" max="4" width="12.85546875" customWidth="1"/>
    <col min="5" max="5" width="16" customWidth="1"/>
    <col min="6" max="6" width="5.85546875" customWidth="1"/>
    <col min="8" max="8" width="17.28515625" customWidth="1"/>
    <col min="9" max="9" width="10.85546875" customWidth="1"/>
    <col min="11" max="11" width="5.28515625" customWidth="1"/>
    <col min="12" max="12" width="7.7109375" customWidth="1"/>
    <col min="13" max="13" width="17.140625" customWidth="1"/>
    <col min="14" max="14" width="10.5703125" customWidth="1"/>
    <col min="15" max="15" width="12.85546875" customWidth="1"/>
    <col min="16" max="16" width="11" customWidth="1"/>
    <col min="17" max="17" width="18.7109375" customWidth="1"/>
    <col min="18" max="18" width="9.85546875" customWidth="1"/>
    <col min="19" max="19" width="7.28515625" customWidth="1"/>
    <col min="20" max="20" width="5.5703125" customWidth="1"/>
    <col min="22" max="22" width="16.7109375" customWidth="1"/>
    <col min="23" max="23" width="8.5703125" customWidth="1"/>
  </cols>
  <sheetData>
    <row r="2" spans="2:27" x14ac:dyDescent="0.2">
      <c r="C2" s="164" t="s">
        <v>31</v>
      </c>
      <c r="D2" s="164"/>
      <c r="E2" s="164"/>
      <c r="H2" s="164" t="s">
        <v>32</v>
      </c>
      <c r="I2" s="164"/>
      <c r="J2" s="164"/>
    </row>
    <row r="3" spans="2:27" x14ac:dyDescent="0.2">
      <c r="C3" s="165"/>
      <c r="D3" s="165"/>
      <c r="E3" s="165"/>
      <c r="H3" s="165"/>
      <c r="I3" s="165"/>
      <c r="J3" s="165"/>
    </row>
    <row r="4" spans="2:27" s="5" customFormat="1" ht="33.75" customHeight="1" x14ac:dyDescent="0.2">
      <c r="B4" s="2" t="s">
        <v>27</v>
      </c>
      <c r="C4" s="2" t="s">
        <v>29</v>
      </c>
      <c r="D4" s="2" t="s">
        <v>15</v>
      </c>
      <c r="E4" s="2" t="s">
        <v>16</v>
      </c>
      <c r="G4" s="2" t="s">
        <v>27</v>
      </c>
      <c r="H4" s="2" t="s">
        <v>29</v>
      </c>
      <c r="I4" s="2" t="s">
        <v>15</v>
      </c>
      <c r="J4" s="2" t="s">
        <v>16</v>
      </c>
    </row>
    <row r="5" spans="2:27" s="5" customFormat="1" ht="15.75" customHeight="1" x14ac:dyDescent="0.2">
      <c r="B5" s="166">
        <v>1</v>
      </c>
      <c r="C5" s="3">
        <v>0</v>
      </c>
      <c r="D5" s="3">
        <f>'Sprint I Backlog'!I3</f>
        <v>430</v>
      </c>
      <c r="E5" s="3">
        <f>D5</f>
        <v>430</v>
      </c>
      <c r="G5" s="166">
        <v>2</v>
      </c>
      <c r="H5" s="43">
        <v>0</v>
      </c>
      <c r="I5" s="3">
        <f>'Sprint II Backlog'!I3</f>
        <v>176</v>
      </c>
      <c r="J5" s="3">
        <f>I5</f>
        <v>176</v>
      </c>
      <c r="M5" s="54"/>
      <c r="N5" s="54"/>
      <c r="O5" s="42"/>
    </row>
    <row r="6" spans="2:27" ht="18.75" customHeight="1" x14ac:dyDescent="0.2">
      <c r="B6" s="167"/>
      <c r="C6" s="3">
        <v>1</v>
      </c>
      <c r="D6" s="3">
        <f>ABS(ROUND(D5-(D5/14),2))</f>
        <v>399.29</v>
      </c>
      <c r="E6" s="17">
        <f>IF(OR(DashBoard!M11="DAY 1"),NA(),'Sprint I Backlog'!J3)</f>
        <v>390</v>
      </c>
      <c r="G6" s="167"/>
      <c r="H6" s="43">
        <v>1</v>
      </c>
      <c r="I6" s="3">
        <f>ROUND(I5-(I5/14),2)</f>
        <v>163.43</v>
      </c>
      <c r="J6" s="17">
        <f>IF(OR(DashBoard!M34="DAY 1"),NA(),'Sprint II Backlog'!J3)</f>
        <v>146</v>
      </c>
      <c r="M6" s="42"/>
      <c r="N6" s="42"/>
      <c r="O6" s="42"/>
    </row>
    <row r="7" spans="2:27" ht="21.75" customHeight="1" x14ac:dyDescent="0.2">
      <c r="B7" s="167"/>
      <c r="C7" s="3">
        <v>2</v>
      </c>
      <c r="D7" s="3">
        <f>ABS(ROUND(D6-(D5/14),2))</f>
        <v>368.58</v>
      </c>
      <c r="E7" s="17">
        <f>IF(OR(DashBoard!M11="DAY 1",DashBoard!M11="DAY 2"),NA(),'Sprint I Backlog'!K3)</f>
        <v>366</v>
      </c>
      <c r="G7" s="167"/>
      <c r="H7" s="43">
        <v>2</v>
      </c>
      <c r="I7" s="3">
        <f>ROUND(I6-(I5/14),2)</f>
        <v>150.86000000000001</v>
      </c>
      <c r="J7" s="17">
        <f>IF(OR(DashBoard!M34="DAY 1",DashBoard!M34="DAY 2"),NA(),'Sprint II Backlog'!K3)</f>
        <v>114</v>
      </c>
      <c r="M7" s="62"/>
      <c r="N7" s="62"/>
      <c r="O7" s="62"/>
      <c r="AA7" s="53"/>
    </row>
    <row r="8" spans="2:27" ht="18.75" customHeight="1" x14ac:dyDescent="0.2">
      <c r="B8" s="167"/>
      <c r="C8" s="3">
        <v>3</v>
      </c>
      <c r="D8" s="3">
        <f>ABS(ROUND(D7-(D5/14),2))</f>
        <v>337.87</v>
      </c>
      <c r="E8" s="17">
        <f>IF(OR(DashBoard!M11="DAY 1",DashBoard!M11="DAY 2",DashBoard!M11="DAY 3"),NA(),'Sprint I Backlog'!L3)</f>
        <v>333</v>
      </c>
      <c r="G8" s="167"/>
      <c r="H8" s="43">
        <v>3</v>
      </c>
      <c r="I8" s="3">
        <f>ABS(ROUND(I7-(I5/14),2))</f>
        <v>138.29</v>
      </c>
      <c r="J8" s="17">
        <f>IF(OR(DashBoard!M34="DAY 1",DashBoard!M34="DAY 2",DashBoard!M34="DAY 3"),NA(),'Sprint II Backlog'!L3)</f>
        <v>80</v>
      </c>
      <c r="M8" s="63"/>
      <c r="N8" s="63"/>
      <c r="O8" s="64"/>
    </row>
    <row r="9" spans="2:27" ht="21" customHeight="1" x14ac:dyDescent="0.2">
      <c r="B9" s="167"/>
      <c r="C9" s="3">
        <v>4</v>
      </c>
      <c r="D9" s="3">
        <f>ABS(ROUND(D8-(D5/14),2))</f>
        <v>307.16000000000003</v>
      </c>
      <c r="E9" s="17">
        <f>IF(OR(DashBoard!M11="DAY 1",DashBoard!M11="DAY 2",DashBoard!M11="DAY 3",DashBoard!M11="DAY 4"),NA(),'Sprint I Backlog'!M3)</f>
        <v>314</v>
      </c>
      <c r="G9" s="167"/>
      <c r="H9" s="43">
        <v>4</v>
      </c>
      <c r="I9" s="3">
        <f>ABS(ROUND(I8-(I5/14),2))</f>
        <v>125.72</v>
      </c>
      <c r="J9" s="17">
        <f>IF(OR(DashBoard!M34="DAY 1",DashBoard!M34="DAY 2",DashBoard!M34="DAY 3",DashBoard!M34="DAY 4"),NA(),'Sprint II Backlog'!M3)</f>
        <v>54</v>
      </c>
      <c r="M9" s="63"/>
      <c r="N9" s="63"/>
      <c r="O9" s="64"/>
    </row>
    <row r="10" spans="2:27" ht="18.75" customHeight="1" x14ac:dyDescent="0.2">
      <c r="B10" s="167"/>
      <c r="C10" s="3">
        <v>5</v>
      </c>
      <c r="D10" s="3">
        <f>ABS(ROUND(D9-(D5/14),2))</f>
        <v>276.45</v>
      </c>
      <c r="E10" s="17">
        <f>IF(OR(DashBoard!M11="DAY 1",DashBoard!M11="DAY 2",DashBoard!M11="DAY 3",DashBoard!M11="DAY 4",DashBoard!M11="DAY 5"),NA(),'Sprint I Backlog'!N3)</f>
        <v>302</v>
      </c>
      <c r="G10" s="167"/>
      <c r="H10" s="43">
        <v>5</v>
      </c>
      <c r="I10" s="3">
        <f>ABS(ROUND(I9-(I5/14),2))</f>
        <v>113.15</v>
      </c>
      <c r="J10" s="17">
        <f>IF(OR(DashBoard!M34="DAY 1",DashBoard!M34="DAY 2",DashBoard!M34="DAY 3",DashBoard!M34="DAY 4",DashBoard!M34="DAY 5"),NA(),'Sprint II Backlog'!N3)</f>
        <v>28</v>
      </c>
      <c r="M10" s="63"/>
      <c r="N10" s="63"/>
      <c r="O10" s="64"/>
      <c r="P10" s="6"/>
    </row>
    <row r="11" spans="2:27" ht="17.25" customHeight="1" x14ac:dyDescent="0.2">
      <c r="B11" s="167"/>
      <c r="C11" s="3">
        <v>6</v>
      </c>
      <c r="D11" s="3">
        <f>ABS(ROUND(D10-(D5/14),2))</f>
        <v>245.74</v>
      </c>
      <c r="E11" s="17">
        <f>IF(OR(DashBoard!M11="DAY 1",DashBoard!M11="DAY 2",DashBoard!M11="DAY 3",DashBoard!M11="DAY 4",DashBoard!M11="DAY 5",DashBoard!M11="DAY 6"),NA(),'Sprint I Backlog'!O3)</f>
        <v>271</v>
      </c>
      <c r="G11" s="167"/>
      <c r="H11" s="43">
        <v>6</v>
      </c>
      <c r="I11" s="3">
        <f>ABS(ROUND(I10-(I5/14),2))</f>
        <v>100.58</v>
      </c>
      <c r="J11" s="17">
        <f>IF(OR(DashBoard!M34="DAY 1",DashBoard!M34="DAY 2",DashBoard!M34="DAY 3",DashBoard!M34="DAY 4",DashBoard!M34="DAY 5",DashBoard!M34="DAY 6"),NA(),'Sprint II Backlog'!O3)</f>
        <v>0</v>
      </c>
    </row>
    <row r="12" spans="2:27" ht="18.75" customHeight="1" x14ac:dyDescent="0.2">
      <c r="B12" s="167"/>
      <c r="C12" s="3">
        <v>7</v>
      </c>
      <c r="D12" s="3">
        <f>ABS(ROUND(D11-(D5/14),2))</f>
        <v>215.03</v>
      </c>
      <c r="E12" s="17">
        <f>IF(OR(DashBoard!M11="DAY 1",DashBoard!M11="DAY 2",DashBoard!M11="DAY 3",DashBoard!M11="DAY 4",DashBoard!M11="DAY 5",DashBoard!M11="DAY 6",DashBoard!M11="DAY 7"),NA(),'Sprint I Backlog'!P3)</f>
        <v>233</v>
      </c>
      <c r="G12" s="167"/>
      <c r="H12" s="43">
        <v>7</v>
      </c>
      <c r="I12" s="3">
        <f>ABS(ROUND(I11-(I5/14),2))</f>
        <v>88.01</v>
      </c>
      <c r="J12" s="17">
        <f>IF(OR(DashBoard!M34="DAY 1",DashBoard!M34="DAY 2",DashBoard!M34="DAY 3",DashBoard!M34="DAY 4",DashBoard!M34="DAY 5",DashBoard!M34="DAY 6",DashBoard!M34="DAY 7"),NA(),'Sprint II Backlog'!P3)</f>
        <v>0</v>
      </c>
    </row>
    <row r="13" spans="2:27" ht="19.5" customHeight="1" x14ac:dyDescent="0.2">
      <c r="B13" s="167"/>
      <c r="C13" s="3">
        <v>8</v>
      </c>
      <c r="D13" s="3">
        <f>ABS(ROUND(D12-(D5/14),2))</f>
        <v>184.32</v>
      </c>
      <c r="E13" s="17">
        <f>IF(OR(DashBoard!M11="DAY 1",DashBoard!M11="DAY 2",DashBoard!M11="DAY 3",DashBoard!M11="DAY 4",DashBoard!M11="DAY 5",DashBoard!M11="DAY 6",DashBoard!M11="DAY 7",DashBoard!M11="DAY 8"),NA(),'Sprint I Backlog'!Q3)</f>
        <v>195</v>
      </c>
      <c r="G13" s="167"/>
      <c r="H13" s="43">
        <v>8</v>
      </c>
      <c r="I13" s="3">
        <f>ABS(ROUND(I12-(I5/14),2))</f>
        <v>75.44</v>
      </c>
      <c r="J13" s="17">
        <f>IF(OR(DashBoard!M34="DAY 1",DashBoard!M34="DAY 2",DashBoard!M34="DAY 3",DashBoard!M34="DAY 4",DashBoard!M34="DAY 5",,DashBoard!M34="DAY 6",DashBoard!M34="DAY 7",DashBoard!M34="DAY 8"),NA(),'Sprint II Backlog'!Q3)</f>
        <v>0</v>
      </c>
    </row>
    <row r="14" spans="2:27" ht="19.5" customHeight="1" x14ac:dyDescent="0.2">
      <c r="B14" s="167"/>
      <c r="C14" s="3">
        <v>9</v>
      </c>
      <c r="D14" s="3">
        <f>ABS(ROUND(D13-(D5/14),2))</f>
        <v>153.61000000000001</v>
      </c>
      <c r="E14" s="17">
        <f>IF(OR(DashBoard!M11="DAY 1",DashBoard!M11="DAY 2",DashBoard!M11="DAY 3",DashBoard!M11="DAY 4",DashBoard!M11="DAY 5",DashBoard!M11="DAY 6",DashBoard!M11="DAY 7",DashBoard!M11="DAY 8",DashBoard!M11="DAY 9"),NA(),'Sprint I Backlog'!R3)</f>
        <v>161</v>
      </c>
      <c r="G14" s="167"/>
      <c r="H14" s="43">
        <v>9</v>
      </c>
      <c r="I14" s="3">
        <f>ABS(ROUND(I13-(I5/14),2))</f>
        <v>62.87</v>
      </c>
      <c r="J14" s="17">
        <f>IF(OR(DashBoard!M34="DAY 1",DashBoard!M34="DAY 2",DashBoard!M34="DAY 3",DashBoard!M34="DAY 4",DashBoard!M34="DAY 5",DashBoard!M34="DAY 6",DashBoard!M34="DAY 7",DashBoard!M34="DAY 8",DashBoard!M34="DAY 9"),NA(),'Sprint II Backlog'!R3)</f>
        <v>0</v>
      </c>
    </row>
    <row r="15" spans="2:27" ht="18" customHeight="1" x14ac:dyDescent="0.2">
      <c r="B15" s="167"/>
      <c r="C15" s="3">
        <v>10</v>
      </c>
      <c r="D15" s="3">
        <f>ABS(ROUND(D14-(D5/14),2))</f>
        <v>122.9</v>
      </c>
      <c r="E15" s="17">
        <f>IF(OR(DashBoard!M11="DAY 1",DashBoard!M11="DAY 2",DashBoard!M11="DAY 3",DashBoard!M11="DAY 4",DashBoard!M11="DAY 5",DashBoard!M11="DAY 6",DashBoard!M11="DAY 7",DashBoard!M11="DAY 8",DashBoard!M11="DAY 9",DashBoard!M11="DAY 10"),NA(),'Sprint I Backlog'!S3)</f>
        <v>122</v>
      </c>
      <c r="G15" s="167"/>
      <c r="H15" s="43">
        <v>10</v>
      </c>
      <c r="I15" s="3">
        <f>ABS(ROUND(I14-(I5/14),2))</f>
        <v>50.3</v>
      </c>
      <c r="J15" s="17">
        <f>IF(OR(DashBoard!M34="DAY 1",DashBoard!M34="DAY 2",DashBoard!M34="DAY 3",DashBoard!M34="DAY 4",DashBoard!M34="DAY 5",DashBoard!M34="DAY 6",DashBoard!M34="DAY 7",DashBoard!M34="DAY 8",DashBoard!M34="DAY 9",DashBoard!M34="DAY 10"),NA(),'Sprint II Backlog'!S3)</f>
        <v>0</v>
      </c>
    </row>
    <row r="16" spans="2:27" x14ac:dyDescent="0.2">
      <c r="B16" s="167"/>
      <c r="C16" s="3">
        <v>11</v>
      </c>
      <c r="D16" s="3">
        <f>ABS(ROUND(D15-(D5/14),2))</f>
        <v>92.19</v>
      </c>
      <c r="E16" s="17">
        <f>IF(OR(DashBoard!M11="DAY 1",DashBoard!M11="DAY 2",DashBoard!M11="DAY 3",DashBoard!M11="DAY 4",DashBoard!M11="DAY 5",DashBoard!M11="DAY 6",DashBoard!M11="DAY 7",DashBoard!M11="DAY 8",DashBoard!M11="DAY 9",DashBoard!M11="DAY 10",DashBoard!M11="DAY 11"),NA(),'Sprint I Backlog'!T3)</f>
        <v>83</v>
      </c>
      <c r="F16" s="6"/>
      <c r="G16" s="167"/>
      <c r="H16" s="43">
        <v>11</v>
      </c>
      <c r="I16" s="3">
        <f>ABS(ROUND(I15-(I6/14),2))</f>
        <v>38.630000000000003</v>
      </c>
      <c r="J16" s="17">
        <f>IF(OR(DashBoard!M34="DAY 1",DashBoard!M34="DAY 2",DashBoard!M34="DAY 3",DashBoard!M34="DAY 4",DashBoard!M34="DAY 5",DashBoard!M34="DAY 6",DashBoard!M34="DAY 7",DashBoard!M34="DAY 8",DashBoard!M34="DAY 9",DashBoard!M34="DAY 10",DashBoard!M34="DAY 11"),NA(),'Sprint II Backlog'!T3)</f>
        <v>0</v>
      </c>
    </row>
    <row r="17" spans="2:10" x14ac:dyDescent="0.2">
      <c r="B17" s="167"/>
      <c r="C17" s="3">
        <v>12</v>
      </c>
      <c r="D17" s="3">
        <f>ABS(ROUND(D16-(D5/14),2))</f>
        <v>61.48</v>
      </c>
      <c r="E17" s="17">
        <f>IF(OR(DashBoard!M11="DAY 1",DashBoard!M11="DAY 2",DashBoard!M11="DAY 3",DashBoard!M11="DAY 4",DashBoard!M11="DAY 5",DashBoard!M11="DAY 6",DashBoard!M11="DAY 7",DashBoard!M11="DAY 8",DashBoard!M11="DAY 9",DashBoard!M11="DAY 10",DashBoard!M11="DAY 11",DashBoard!M11="DAY 12"),NA(),'Sprint I Backlog'!U3)</f>
        <v>53</v>
      </c>
      <c r="F17" s="6"/>
      <c r="G17" s="167"/>
      <c r="H17" s="43">
        <v>12</v>
      </c>
      <c r="I17" s="3">
        <f>ABS(ROUND(I16-(I7/14),2))</f>
        <v>27.85</v>
      </c>
      <c r="J17" s="17">
        <f>IF(OR(DashBoard!M34="DAY 1",DashBoard!M34="DAY 2",DashBoard!M34="DAY 3",DashBoard!M34="DAY 4",DashBoard!M34="DAY 5",DashBoard!M34="DAY 6",DashBoard!M34="DAY 7",DashBoard!M34="DAY 8",DashBoard!M34="DAY 9",DashBoard!M34="DAY 10",DashBoard!M34="DAY 11",DashBoard!M34="DAY 12"),NA(),'Sprint II Backlog'!U3)</f>
        <v>0</v>
      </c>
    </row>
    <row r="18" spans="2:10" x14ac:dyDescent="0.2">
      <c r="B18" s="167"/>
      <c r="C18" s="3">
        <v>13</v>
      </c>
      <c r="D18" s="3">
        <f>ABS(ROUND(D17-(D5/14),2))</f>
        <v>30.77</v>
      </c>
      <c r="E18" s="17">
        <f>IF(OR(DashBoard!M11="DAY 1",DashBoard!M11="DAY 2",DashBoard!M11="DAY 3",DashBoard!M11="DAY 4",DashBoard!M11="DAY 5",DashBoard!M11="DAY 6",DashBoard!M11="DAY 7",DashBoard!M11="DAY 8",DashBoard!M11="DAY 9",DashBoard!M11="DAY 10",DashBoard!M11="DAY 11",DashBoard!M11="DAY 12",DashBoard!M11="DAY 13"),NA(),'Sprint I Backlog'!V3)</f>
        <v>18</v>
      </c>
      <c r="F18" s="6"/>
      <c r="G18" s="167"/>
      <c r="H18" s="43">
        <v>13</v>
      </c>
      <c r="I18" s="3">
        <f>ABS(ROUND(I17-(I8/14),2))</f>
        <v>17.97</v>
      </c>
      <c r="J18" s="17">
        <f>IF(OR(DashBoard!M34="DAY 1",DashBoard!M34="DAY 2",DashBoard!M34="DAY 3",DashBoard!M34="DAY 4",DashBoard!M34="DAY 5",DashBoard!M34="DAY 6",DashBoard!M34="DAY 7",DashBoard!M34="DAY 8",DashBoard!M34="DAY 9",DashBoard!M34="DAY 10",DashBoard!M34="DAY 11",DashBoard!M34="DAY 12",DashBoard!M34="DAY 13"),NA(),'Sprint II Backlog'!V3)</f>
        <v>0</v>
      </c>
    </row>
    <row r="19" spans="2:10" x14ac:dyDescent="0.2">
      <c r="B19" s="168"/>
      <c r="C19" s="3">
        <v>14</v>
      </c>
      <c r="D19" s="3">
        <f>ABS(ROUND(D18-(D5/14),2))</f>
        <v>0.06</v>
      </c>
      <c r="E19" s="17">
        <f>IF(OR(DashBoard!M11="DAY 1",DashBoard!M11="DAY 2",DashBoard!M11="DAY 3",DashBoard!M11="DAY 4",DashBoard!M11="DAY 5",DashBoard!M11="DAY 6",DashBoard!M11="DAY 7",DashBoard!M11="DAY 8",DashBoard!M11="DAY 9",DashBoard!M11="DAY 10",DashBoard!M11="DAY 11",DashBoard!M11="DAY 12",DashBoard!M11="DAY 13",DashBoard!M11="DAY 14"),NA(),'Sprint I Backlog'!W3)</f>
        <v>0</v>
      </c>
      <c r="G19" s="168"/>
      <c r="H19" s="43">
        <v>14</v>
      </c>
      <c r="I19" s="3">
        <f>ABS(ROUND(I18-(I9/14),2))</f>
        <v>8.99</v>
      </c>
      <c r="J19" s="17">
        <f>IF(OR(DashBoard!M34="DAY 1",DashBoard!M34="DAY 2",DashBoard!M34="DAY 3",DashBoard!M34="DAY 4",DashBoard!M34="DAY 5",DashBoard!M34="DAY 6",DashBoard!M34="DAY 7",DashBoard!M34="DAY 8",DashBoard!M34="DAY 9",DashBoard!M34="DAY 10",DashBoard!M34="DAY 11",DashBoard!M34="DAY 12",DashBoard!M34="DAY 13",DashBoard!M34="DAY 14"),NA(),'Sprint II Backlog'!W3)</f>
        <v>0</v>
      </c>
    </row>
    <row r="25" spans="2:10" x14ac:dyDescent="0.2">
      <c r="F25" s="6"/>
      <c r="G25" s="6"/>
      <c r="H25" s="6"/>
      <c r="I25" s="6"/>
    </row>
    <row r="26" spans="2:10" ht="8.25" customHeight="1" x14ac:dyDescent="0.2">
      <c r="F26" s="6"/>
      <c r="G26" s="6"/>
      <c r="H26" s="6"/>
      <c r="I26" s="6"/>
    </row>
    <row r="27" spans="2:10" ht="19.5" customHeight="1" x14ac:dyDescent="0.2">
      <c r="F27" s="6"/>
      <c r="G27" s="6"/>
      <c r="H27" s="6"/>
      <c r="I27" s="6"/>
    </row>
    <row r="28" spans="2:10" ht="21.75" customHeight="1" x14ac:dyDescent="0.2">
      <c r="F28" s="6"/>
      <c r="G28" s="6"/>
      <c r="H28" s="6"/>
      <c r="I28" s="6"/>
    </row>
    <row r="29" spans="2:10" x14ac:dyDescent="0.2">
      <c r="F29" s="6"/>
      <c r="G29" s="6"/>
      <c r="H29" s="6"/>
      <c r="I29" s="6"/>
    </row>
    <row r="30" spans="2:10" x14ac:dyDescent="0.2">
      <c r="F30" s="6"/>
      <c r="G30" s="6"/>
      <c r="H30" s="6"/>
      <c r="I30" s="6"/>
    </row>
    <row r="31" spans="2:10" x14ac:dyDescent="0.2">
      <c r="F31" s="6"/>
      <c r="G31" s="6"/>
      <c r="H31" s="6"/>
      <c r="I31" s="6"/>
    </row>
    <row r="32" spans="2:10" x14ac:dyDescent="0.2">
      <c r="F32" s="6"/>
      <c r="G32" s="6"/>
      <c r="H32" s="6"/>
      <c r="I32" s="6"/>
    </row>
    <row r="45" spans="6:9" x14ac:dyDescent="0.2">
      <c r="F45" s="6"/>
      <c r="G45" s="6"/>
      <c r="H45" s="6"/>
      <c r="I45" s="6"/>
    </row>
    <row r="46" spans="6:9" x14ac:dyDescent="0.2">
      <c r="F46" s="6"/>
      <c r="G46" s="6"/>
      <c r="H46" s="6"/>
      <c r="I46" s="6"/>
    </row>
    <row r="47" spans="6:9" x14ac:dyDescent="0.2">
      <c r="F47" s="6"/>
      <c r="G47" s="6"/>
      <c r="H47" s="6"/>
      <c r="I47" s="6"/>
    </row>
    <row r="48" spans="6:9" x14ac:dyDescent="0.2">
      <c r="F48" s="6"/>
      <c r="G48" s="6"/>
      <c r="H48" s="6"/>
      <c r="I48" s="6"/>
    </row>
    <row r="49" spans="6:9" x14ac:dyDescent="0.2">
      <c r="F49" s="6"/>
      <c r="G49" s="6"/>
      <c r="H49" s="6"/>
      <c r="I49" s="6"/>
    </row>
    <row r="50" spans="6:9" x14ac:dyDescent="0.2">
      <c r="F50" s="6"/>
      <c r="G50" s="6"/>
      <c r="H50" s="6"/>
      <c r="I50" s="6"/>
    </row>
    <row r="51" spans="6:9" x14ac:dyDescent="0.2">
      <c r="F51" s="6"/>
      <c r="G51" s="6"/>
      <c r="H51" s="6"/>
      <c r="I51" s="6"/>
    </row>
    <row r="52" spans="6:9" x14ac:dyDescent="0.2">
      <c r="F52" s="6"/>
      <c r="G52" s="6"/>
      <c r="H52" s="6"/>
      <c r="I52" s="6"/>
    </row>
    <row r="53" spans="6:9" x14ac:dyDescent="0.2">
      <c r="F53" s="6"/>
      <c r="G53" s="6"/>
      <c r="H53" s="6"/>
      <c r="I53" s="6"/>
    </row>
    <row r="54" spans="6:9" x14ac:dyDescent="0.2">
      <c r="F54" s="6"/>
      <c r="G54" s="6"/>
      <c r="H54" s="6"/>
      <c r="I54" s="6"/>
    </row>
    <row r="55" spans="6:9" x14ac:dyDescent="0.2">
      <c r="F55" s="6"/>
      <c r="G55" s="6"/>
      <c r="H55" s="6"/>
      <c r="I55" s="6"/>
    </row>
    <row r="56" spans="6:9" x14ac:dyDescent="0.2">
      <c r="F56" s="6"/>
      <c r="G56" s="6"/>
      <c r="H56" s="6"/>
      <c r="I56" s="6"/>
    </row>
    <row r="57" spans="6:9" x14ac:dyDescent="0.2">
      <c r="F57" s="6"/>
      <c r="G57" s="6"/>
      <c r="H57" s="6"/>
      <c r="I57" s="6"/>
    </row>
    <row r="58" spans="6:9" x14ac:dyDescent="0.2">
      <c r="F58" s="6"/>
      <c r="G58" s="6"/>
      <c r="H58" s="6"/>
      <c r="I58" s="6"/>
    </row>
    <row r="59" spans="6:9" x14ac:dyDescent="0.2">
      <c r="F59" s="6"/>
      <c r="G59" s="6"/>
      <c r="H59" s="6"/>
      <c r="I59" s="6"/>
    </row>
    <row r="60" spans="6:9" x14ac:dyDescent="0.2">
      <c r="F60" s="6"/>
      <c r="G60" s="6"/>
      <c r="H60" s="6"/>
      <c r="I60" s="6"/>
    </row>
    <row r="61" spans="6:9" x14ac:dyDescent="0.2">
      <c r="F61" s="6"/>
      <c r="G61" s="6"/>
      <c r="H61" s="6"/>
      <c r="I61" s="6"/>
    </row>
    <row r="62" spans="6:9" x14ac:dyDescent="0.2">
      <c r="F62" s="6"/>
      <c r="G62" s="6"/>
      <c r="H62" s="6"/>
      <c r="I62" s="6"/>
    </row>
    <row r="63" spans="6:9" x14ac:dyDescent="0.2">
      <c r="F63" s="6"/>
      <c r="G63" s="6"/>
      <c r="H63" s="6"/>
      <c r="I63" s="6"/>
    </row>
    <row r="64" spans="6:9" x14ac:dyDescent="0.2">
      <c r="F64" s="6"/>
      <c r="G64" s="6"/>
      <c r="H64" s="6"/>
      <c r="I64" s="6"/>
    </row>
    <row r="65" spans="6:9" x14ac:dyDescent="0.2">
      <c r="F65" s="6"/>
      <c r="G65" s="6"/>
      <c r="H65" s="6"/>
      <c r="I65" s="6"/>
    </row>
    <row r="66" spans="6:9" x14ac:dyDescent="0.2">
      <c r="F66" s="6"/>
      <c r="G66" s="6"/>
      <c r="H66" s="6"/>
      <c r="I66" s="6"/>
    </row>
    <row r="67" spans="6:9" x14ac:dyDescent="0.2">
      <c r="F67" s="6"/>
      <c r="G67" s="6"/>
      <c r="H67" s="6"/>
      <c r="I67" s="6"/>
    </row>
    <row r="68" spans="6:9" x14ac:dyDescent="0.2">
      <c r="F68" s="6"/>
      <c r="G68" s="6"/>
      <c r="H68" s="6"/>
      <c r="I68" s="6"/>
    </row>
    <row r="69" spans="6:9" x14ac:dyDescent="0.2">
      <c r="F69" s="6"/>
      <c r="G69" s="6"/>
      <c r="H69" s="6"/>
      <c r="I69" s="6"/>
    </row>
    <row r="70" spans="6:9" x14ac:dyDescent="0.2">
      <c r="F70" s="6"/>
      <c r="G70" s="6"/>
      <c r="H70" s="6"/>
      <c r="I70" s="6"/>
    </row>
    <row r="71" spans="6:9" x14ac:dyDescent="0.2">
      <c r="F71" s="6"/>
      <c r="G71" s="6"/>
      <c r="H71" s="6"/>
      <c r="I71" s="6"/>
    </row>
    <row r="72" spans="6:9" x14ac:dyDescent="0.2">
      <c r="F72" s="6"/>
      <c r="G72" s="6"/>
      <c r="H72" s="6"/>
      <c r="I72" s="6"/>
    </row>
    <row r="73" spans="6:9" x14ac:dyDescent="0.2">
      <c r="F73" s="6"/>
      <c r="G73" s="6"/>
      <c r="H73" s="6"/>
      <c r="I73" s="6"/>
    </row>
    <row r="74" spans="6:9" x14ac:dyDescent="0.2">
      <c r="F74" s="6"/>
      <c r="G74" s="6"/>
      <c r="H74" s="6"/>
      <c r="I74" s="6"/>
    </row>
    <row r="75" spans="6:9" x14ac:dyDescent="0.2">
      <c r="F75" s="6"/>
      <c r="G75" s="6"/>
      <c r="H75" s="6"/>
      <c r="I75" s="6"/>
    </row>
    <row r="76" spans="6:9" x14ac:dyDescent="0.2">
      <c r="F76" s="6"/>
      <c r="G76" s="6"/>
      <c r="H76" s="6"/>
      <c r="I76" s="6"/>
    </row>
    <row r="77" spans="6:9" x14ac:dyDescent="0.2">
      <c r="F77" s="6"/>
      <c r="G77" s="6"/>
      <c r="H77" s="6"/>
      <c r="I77" s="6"/>
    </row>
    <row r="78" spans="6:9" x14ac:dyDescent="0.2">
      <c r="F78" s="6"/>
      <c r="G78" s="6"/>
      <c r="H78" s="6"/>
      <c r="I78" s="6"/>
    </row>
    <row r="79" spans="6:9" x14ac:dyDescent="0.2">
      <c r="F79" s="6"/>
      <c r="G79" s="6"/>
      <c r="H79" s="6"/>
      <c r="I79" s="6"/>
    </row>
    <row r="80" spans="6:9" x14ac:dyDescent="0.2">
      <c r="F80" s="6"/>
      <c r="G80" s="6"/>
      <c r="H80" s="6"/>
      <c r="I80" s="6"/>
    </row>
    <row r="81" spans="6:9" x14ac:dyDescent="0.2">
      <c r="F81" s="6"/>
      <c r="G81" s="6"/>
      <c r="H81" s="6"/>
      <c r="I81" s="6"/>
    </row>
    <row r="82" spans="6:9" x14ac:dyDescent="0.2">
      <c r="F82" s="6"/>
      <c r="G82" s="6"/>
      <c r="H82" s="6"/>
      <c r="I82" s="6"/>
    </row>
    <row r="83" spans="6:9" x14ac:dyDescent="0.2">
      <c r="F83" s="6"/>
      <c r="G83" s="6"/>
      <c r="H83" s="6"/>
      <c r="I83" s="6"/>
    </row>
    <row r="84" spans="6:9" x14ac:dyDescent="0.2">
      <c r="F84" s="6"/>
      <c r="G84" s="6"/>
      <c r="H84" s="6"/>
      <c r="I84" s="6"/>
    </row>
    <row r="85" spans="6:9" x14ac:dyDescent="0.2">
      <c r="F85" s="6"/>
      <c r="G85" s="6"/>
      <c r="H85" s="6"/>
      <c r="I85" s="6"/>
    </row>
    <row r="86" spans="6:9" x14ac:dyDescent="0.2">
      <c r="F86" s="6"/>
      <c r="G86" s="6"/>
      <c r="H86" s="6"/>
      <c r="I86" s="6"/>
    </row>
    <row r="87" spans="6:9" x14ac:dyDescent="0.2">
      <c r="F87" s="6"/>
      <c r="G87" s="6"/>
      <c r="H87" s="6"/>
      <c r="I87" s="6"/>
    </row>
    <row r="88" spans="6:9" x14ac:dyDescent="0.2">
      <c r="F88" s="6"/>
      <c r="G88" s="6"/>
      <c r="H88" s="6"/>
      <c r="I88" s="6"/>
    </row>
    <row r="89" spans="6:9" x14ac:dyDescent="0.2">
      <c r="F89" s="6"/>
      <c r="G89" s="6"/>
      <c r="H89" s="6"/>
      <c r="I89" s="6"/>
    </row>
    <row r="90" spans="6:9" x14ac:dyDescent="0.2">
      <c r="F90" s="6"/>
      <c r="G90" s="6"/>
      <c r="H90" s="6"/>
      <c r="I90" s="6"/>
    </row>
    <row r="91" spans="6:9" x14ac:dyDescent="0.2">
      <c r="F91" s="6"/>
      <c r="G91" s="6"/>
      <c r="H91" s="6"/>
      <c r="I91" s="6"/>
    </row>
    <row r="92" spans="6:9" x14ac:dyDescent="0.2">
      <c r="F92" s="6"/>
      <c r="G92" s="6"/>
      <c r="H92" s="6"/>
      <c r="I92" s="6"/>
    </row>
    <row r="93" spans="6:9" x14ac:dyDescent="0.2">
      <c r="F93" s="6"/>
      <c r="G93" s="6"/>
      <c r="H93" s="6"/>
      <c r="I93" s="6"/>
    </row>
    <row r="94" spans="6:9" x14ac:dyDescent="0.2">
      <c r="F94" s="6"/>
      <c r="G94" s="6"/>
      <c r="H94" s="6"/>
      <c r="I94" s="6"/>
    </row>
    <row r="95" spans="6:9" x14ac:dyDescent="0.2">
      <c r="F95" s="6"/>
      <c r="G95" s="6"/>
      <c r="H95" s="6"/>
      <c r="I95" s="6"/>
    </row>
    <row r="96" spans="6:9" x14ac:dyDescent="0.2">
      <c r="F96" s="6"/>
      <c r="G96" s="6"/>
      <c r="H96" s="6"/>
      <c r="I96" s="6"/>
    </row>
    <row r="97" spans="6:9" x14ac:dyDescent="0.2">
      <c r="F97" s="6"/>
      <c r="G97" s="6"/>
      <c r="H97" s="6"/>
      <c r="I97" s="6"/>
    </row>
    <row r="98" spans="6:9" x14ac:dyDescent="0.2">
      <c r="F98" s="6"/>
      <c r="G98" s="6"/>
      <c r="H98" s="6"/>
      <c r="I98" s="6"/>
    </row>
    <row r="99" spans="6:9" x14ac:dyDescent="0.2">
      <c r="F99" s="6"/>
      <c r="G99" s="6"/>
      <c r="H99" s="6"/>
      <c r="I99" s="6"/>
    </row>
    <row r="100" spans="6:9" x14ac:dyDescent="0.2">
      <c r="F100" s="6"/>
      <c r="G100" s="6"/>
      <c r="H100" s="6"/>
      <c r="I100" s="6"/>
    </row>
    <row r="101" spans="6:9" x14ac:dyDescent="0.2">
      <c r="F101" s="6"/>
      <c r="G101" s="6"/>
      <c r="H101" s="6"/>
      <c r="I101" s="6"/>
    </row>
    <row r="102" spans="6:9" x14ac:dyDescent="0.2">
      <c r="F102" s="6"/>
      <c r="G102" s="6"/>
      <c r="H102" s="6"/>
      <c r="I102" s="6"/>
    </row>
    <row r="103" spans="6:9" x14ac:dyDescent="0.2">
      <c r="F103" s="6"/>
      <c r="G103" s="6"/>
      <c r="H103" s="6"/>
      <c r="I103" s="6"/>
    </row>
    <row r="104" spans="6:9" x14ac:dyDescent="0.2">
      <c r="F104" s="6"/>
      <c r="G104" s="6"/>
      <c r="H104" s="6"/>
      <c r="I104" s="6"/>
    </row>
    <row r="105" spans="6:9" x14ac:dyDescent="0.2">
      <c r="F105" s="6"/>
      <c r="G105" s="6"/>
      <c r="H105" s="6"/>
      <c r="I105" s="6"/>
    </row>
    <row r="106" spans="6:9" x14ac:dyDescent="0.2">
      <c r="F106" s="6"/>
      <c r="G106" s="6"/>
      <c r="H106" s="6"/>
      <c r="I106" s="6"/>
    </row>
    <row r="107" spans="6:9" x14ac:dyDescent="0.2">
      <c r="F107" s="6"/>
      <c r="G107" s="6"/>
      <c r="H107" s="6"/>
      <c r="I107" s="6"/>
    </row>
    <row r="108" spans="6:9" x14ac:dyDescent="0.2">
      <c r="F108" s="6"/>
      <c r="G108" s="6"/>
      <c r="H108" s="6"/>
      <c r="I108" s="6"/>
    </row>
    <row r="109" spans="6:9" x14ac:dyDescent="0.2">
      <c r="F109" s="6"/>
      <c r="G109" s="6"/>
      <c r="H109" s="6"/>
      <c r="I109" s="6"/>
    </row>
    <row r="110" spans="6:9" x14ac:dyDescent="0.2">
      <c r="F110" s="6"/>
      <c r="G110" s="6"/>
      <c r="H110" s="6"/>
      <c r="I110" s="6"/>
    </row>
    <row r="111" spans="6:9" x14ac:dyDescent="0.2">
      <c r="F111" s="6"/>
      <c r="G111" s="6"/>
      <c r="H111" s="6"/>
      <c r="I111" s="6"/>
    </row>
    <row r="112" spans="6:9" x14ac:dyDescent="0.2">
      <c r="F112" s="6"/>
      <c r="G112" s="6"/>
      <c r="H112" s="6"/>
      <c r="I112" s="6"/>
    </row>
    <row r="113" spans="6:9" x14ac:dyDescent="0.2">
      <c r="F113" s="6"/>
      <c r="G113" s="6"/>
      <c r="H113" s="6"/>
      <c r="I113" s="6"/>
    </row>
    <row r="114" spans="6:9" x14ac:dyDescent="0.2">
      <c r="F114" s="6"/>
      <c r="G114" s="6"/>
      <c r="H114" s="6"/>
      <c r="I114" s="6"/>
    </row>
    <row r="115" spans="6:9" x14ac:dyDescent="0.2">
      <c r="F115" s="6"/>
      <c r="G115" s="6"/>
      <c r="H115" s="6"/>
      <c r="I115" s="6"/>
    </row>
    <row r="116" spans="6:9" x14ac:dyDescent="0.2">
      <c r="F116" s="6"/>
      <c r="G116" s="6"/>
      <c r="H116" s="6"/>
      <c r="I116" s="6"/>
    </row>
    <row r="117" spans="6:9" x14ac:dyDescent="0.2">
      <c r="F117" s="6"/>
      <c r="G117" s="6"/>
      <c r="H117" s="6"/>
      <c r="I117" s="6"/>
    </row>
    <row r="118" spans="6:9" x14ac:dyDescent="0.2">
      <c r="F118" s="6"/>
      <c r="G118" s="6"/>
      <c r="H118" s="6"/>
      <c r="I118" s="6"/>
    </row>
    <row r="119" spans="6:9" x14ac:dyDescent="0.2">
      <c r="F119" s="6"/>
      <c r="G119" s="6"/>
      <c r="H119" s="6"/>
      <c r="I119" s="6"/>
    </row>
    <row r="120" spans="6:9" x14ac:dyDescent="0.2">
      <c r="F120" s="6"/>
      <c r="G120" s="6"/>
      <c r="H120" s="6"/>
      <c r="I120" s="6"/>
    </row>
    <row r="121" spans="6:9" x14ac:dyDescent="0.2">
      <c r="F121" s="6"/>
      <c r="G121" s="6"/>
      <c r="H121" s="6"/>
      <c r="I121" s="6"/>
    </row>
    <row r="122" spans="6:9" x14ac:dyDescent="0.2">
      <c r="F122" s="6"/>
      <c r="G122" s="6"/>
      <c r="H122" s="6"/>
      <c r="I122" s="6"/>
    </row>
    <row r="123" spans="6:9" x14ac:dyDescent="0.2">
      <c r="F123" s="6"/>
      <c r="G123" s="6"/>
      <c r="H123" s="6"/>
      <c r="I123" s="6"/>
    </row>
    <row r="124" spans="6:9" x14ac:dyDescent="0.2">
      <c r="F124" s="6"/>
      <c r="G124" s="6"/>
      <c r="H124" s="6"/>
      <c r="I124" s="6"/>
    </row>
    <row r="125" spans="6:9" x14ac:dyDescent="0.2">
      <c r="F125" s="6"/>
      <c r="G125" s="6"/>
      <c r="H125" s="6"/>
      <c r="I125" s="6"/>
    </row>
    <row r="126" spans="6:9" x14ac:dyDescent="0.2">
      <c r="F126" s="6"/>
      <c r="G126" s="6"/>
      <c r="H126" s="6"/>
      <c r="I126" s="6"/>
    </row>
    <row r="127" spans="6:9" x14ac:dyDescent="0.2">
      <c r="F127" s="6"/>
      <c r="G127" s="6"/>
      <c r="H127" s="6"/>
      <c r="I127" s="6"/>
    </row>
    <row r="128" spans="6:9" x14ac:dyDescent="0.2">
      <c r="F128" s="6"/>
      <c r="G128" s="6"/>
      <c r="H128" s="6"/>
      <c r="I128" s="6"/>
    </row>
    <row r="129" spans="6:9" x14ac:dyDescent="0.2">
      <c r="F129" s="6"/>
      <c r="G129" s="6"/>
      <c r="H129" s="6"/>
      <c r="I129" s="6"/>
    </row>
    <row r="130" spans="6:9" x14ac:dyDescent="0.2">
      <c r="F130" s="6"/>
      <c r="G130" s="6"/>
      <c r="H130" s="6"/>
      <c r="I130" s="6"/>
    </row>
    <row r="131" spans="6:9" x14ac:dyDescent="0.2">
      <c r="F131" s="6"/>
      <c r="G131" s="6"/>
      <c r="H131" s="6"/>
      <c r="I131" s="6"/>
    </row>
    <row r="132" spans="6:9" x14ac:dyDescent="0.2">
      <c r="F132" s="6"/>
      <c r="G132" s="6"/>
      <c r="H132" s="6"/>
      <c r="I132" s="6"/>
    </row>
    <row r="133" spans="6:9" x14ac:dyDescent="0.2">
      <c r="F133" s="6"/>
      <c r="G133" s="6"/>
      <c r="H133" s="6"/>
      <c r="I133" s="6"/>
    </row>
    <row r="134" spans="6:9" x14ac:dyDescent="0.2">
      <c r="F134" s="6"/>
      <c r="G134" s="6"/>
      <c r="H134" s="6"/>
      <c r="I134" s="6"/>
    </row>
    <row r="135" spans="6:9" x14ac:dyDescent="0.2">
      <c r="F135" s="6"/>
      <c r="G135" s="6"/>
      <c r="H135" s="6"/>
      <c r="I135" s="6"/>
    </row>
    <row r="136" spans="6:9" x14ac:dyDescent="0.2">
      <c r="F136" s="6"/>
      <c r="G136" s="6"/>
      <c r="H136" s="6"/>
      <c r="I136" s="6"/>
    </row>
    <row r="137" spans="6:9" x14ac:dyDescent="0.2">
      <c r="F137" s="6"/>
      <c r="G137" s="6"/>
      <c r="H137" s="6"/>
      <c r="I137" s="6"/>
    </row>
    <row r="138" spans="6:9" x14ac:dyDescent="0.2">
      <c r="F138" s="6"/>
      <c r="G138" s="6"/>
      <c r="H138" s="6"/>
      <c r="I138" s="6"/>
    </row>
    <row r="139" spans="6:9" x14ac:dyDescent="0.2">
      <c r="F139" s="6"/>
      <c r="G139" s="6"/>
      <c r="H139" s="6"/>
      <c r="I139" s="6"/>
    </row>
    <row r="140" spans="6:9" x14ac:dyDescent="0.2">
      <c r="F140" s="6"/>
      <c r="G140" s="6"/>
      <c r="H140" s="6"/>
      <c r="I140" s="6"/>
    </row>
    <row r="141" spans="6:9" x14ac:dyDescent="0.2">
      <c r="F141" s="6"/>
      <c r="G141" s="6"/>
      <c r="H141" s="6"/>
      <c r="I141" s="6"/>
    </row>
    <row r="142" spans="6:9" x14ac:dyDescent="0.2">
      <c r="F142" s="6"/>
      <c r="G142" s="6"/>
      <c r="H142" s="6"/>
      <c r="I142" s="6"/>
    </row>
    <row r="143" spans="6:9" x14ac:dyDescent="0.2">
      <c r="F143" s="6"/>
      <c r="G143" s="6"/>
      <c r="H143" s="6"/>
      <c r="I143" s="6"/>
    </row>
    <row r="144" spans="6:9" x14ac:dyDescent="0.2">
      <c r="F144" s="6"/>
      <c r="G144" s="6"/>
      <c r="H144" s="6"/>
      <c r="I144" s="6"/>
    </row>
    <row r="145" spans="6:9" x14ac:dyDescent="0.2">
      <c r="F145" s="6"/>
      <c r="G145" s="6"/>
      <c r="H145" s="6"/>
      <c r="I145" s="6"/>
    </row>
    <row r="146" spans="6:9" x14ac:dyDescent="0.2">
      <c r="F146" s="6"/>
      <c r="G146" s="6"/>
      <c r="H146" s="6"/>
      <c r="I146" s="6"/>
    </row>
    <row r="147" spans="6:9" x14ac:dyDescent="0.2">
      <c r="F147" s="6"/>
      <c r="G147" s="6"/>
      <c r="H147" s="6"/>
      <c r="I147" s="6"/>
    </row>
    <row r="148" spans="6:9" x14ac:dyDescent="0.2">
      <c r="F148" s="6"/>
      <c r="G148" s="6"/>
      <c r="H148" s="6"/>
      <c r="I148" s="6"/>
    </row>
    <row r="149" spans="6:9" x14ac:dyDescent="0.2">
      <c r="F149" s="6"/>
      <c r="G149" s="6"/>
      <c r="H149" s="6"/>
      <c r="I149" s="6"/>
    </row>
    <row r="150" spans="6:9" x14ac:dyDescent="0.2">
      <c r="F150" s="6"/>
      <c r="G150" s="6"/>
      <c r="H150" s="6"/>
      <c r="I150" s="6"/>
    </row>
    <row r="151" spans="6:9" x14ac:dyDescent="0.2">
      <c r="F151" s="6"/>
      <c r="G151" s="6"/>
      <c r="H151" s="6"/>
      <c r="I151" s="6"/>
    </row>
    <row r="152" spans="6:9" x14ac:dyDescent="0.2">
      <c r="F152" s="6"/>
      <c r="G152" s="6"/>
      <c r="H152" s="6"/>
      <c r="I152" s="6"/>
    </row>
    <row r="153" spans="6:9" x14ac:dyDescent="0.2">
      <c r="F153" s="6"/>
      <c r="G153" s="6"/>
      <c r="H153" s="6"/>
      <c r="I153" s="6"/>
    </row>
    <row r="154" spans="6:9" x14ac:dyDescent="0.2">
      <c r="F154" s="6"/>
      <c r="G154" s="6"/>
      <c r="H154" s="6"/>
      <c r="I154" s="6"/>
    </row>
    <row r="155" spans="6:9" x14ac:dyDescent="0.2">
      <c r="F155" s="6"/>
      <c r="G155" s="6"/>
      <c r="H155" s="6"/>
      <c r="I155" s="6"/>
    </row>
    <row r="156" spans="6:9" x14ac:dyDescent="0.2">
      <c r="F156" s="6"/>
      <c r="G156" s="6"/>
      <c r="H156" s="6"/>
      <c r="I156" s="6"/>
    </row>
    <row r="157" spans="6:9" x14ac:dyDescent="0.2">
      <c r="F157" s="6"/>
      <c r="G157" s="6"/>
      <c r="H157" s="6"/>
      <c r="I157" s="6"/>
    </row>
    <row r="158" spans="6:9" x14ac:dyDescent="0.2">
      <c r="F158" s="6"/>
      <c r="G158" s="6"/>
      <c r="H158" s="6"/>
      <c r="I158" s="6"/>
    </row>
    <row r="159" spans="6:9" x14ac:dyDescent="0.2">
      <c r="F159" s="6"/>
      <c r="G159" s="6"/>
      <c r="H159" s="6"/>
      <c r="I159" s="6"/>
    </row>
    <row r="160" spans="6:9" x14ac:dyDescent="0.2">
      <c r="F160" s="6"/>
      <c r="G160" s="6"/>
      <c r="H160" s="6"/>
      <c r="I160" s="6"/>
    </row>
    <row r="161" spans="6:9" x14ac:dyDescent="0.2">
      <c r="F161" s="6"/>
      <c r="G161" s="6"/>
      <c r="H161" s="6"/>
      <c r="I161" s="6"/>
    </row>
    <row r="162" spans="6:9" x14ac:dyDescent="0.2">
      <c r="F162" s="6"/>
      <c r="G162" s="6"/>
      <c r="H162" s="6"/>
      <c r="I162" s="6"/>
    </row>
    <row r="163" spans="6:9" x14ac:dyDescent="0.2">
      <c r="F163" s="6"/>
      <c r="G163" s="6"/>
      <c r="H163" s="6"/>
      <c r="I163" s="6"/>
    </row>
    <row r="164" spans="6:9" x14ac:dyDescent="0.2">
      <c r="F164" s="6"/>
      <c r="G164" s="6"/>
      <c r="H164" s="6"/>
      <c r="I164" s="6"/>
    </row>
    <row r="165" spans="6:9" x14ac:dyDescent="0.2">
      <c r="F165" s="6"/>
      <c r="G165" s="6"/>
      <c r="H165" s="6"/>
      <c r="I165" s="6"/>
    </row>
    <row r="166" spans="6:9" x14ac:dyDescent="0.2">
      <c r="F166" s="6"/>
      <c r="G166" s="6"/>
      <c r="H166" s="6"/>
      <c r="I166" s="6"/>
    </row>
    <row r="167" spans="6:9" x14ac:dyDescent="0.2">
      <c r="F167" s="6"/>
      <c r="G167" s="6"/>
      <c r="H167" s="6"/>
      <c r="I167" s="6"/>
    </row>
    <row r="168" spans="6:9" x14ac:dyDescent="0.2">
      <c r="F168" s="6"/>
      <c r="G168" s="6"/>
      <c r="H168" s="6"/>
      <c r="I168" s="6"/>
    </row>
    <row r="169" spans="6:9" x14ac:dyDescent="0.2">
      <c r="F169" s="6"/>
      <c r="G169" s="6"/>
      <c r="H169" s="6"/>
      <c r="I169" s="6"/>
    </row>
    <row r="170" spans="6:9" x14ac:dyDescent="0.2">
      <c r="F170" s="6"/>
      <c r="G170" s="6"/>
      <c r="H170" s="6"/>
      <c r="I170" s="6"/>
    </row>
    <row r="171" spans="6:9" x14ac:dyDescent="0.2">
      <c r="F171" s="6"/>
      <c r="G171" s="6"/>
      <c r="H171" s="6"/>
      <c r="I171" s="6"/>
    </row>
    <row r="172" spans="6:9" x14ac:dyDescent="0.2">
      <c r="F172" s="6"/>
      <c r="G172" s="6"/>
      <c r="H172" s="6"/>
      <c r="I172" s="6"/>
    </row>
    <row r="173" spans="6:9" x14ac:dyDescent="0.2">
      <c r="F173" s="6"/>
      <c r="G173" s="6"/>
      <c r="H173" s="6"/>
      <c r="I173" s="6"/>
    </row>
    <row r="174" spans="6:9" x14ac:dyDescent="0.2">
      <c r="F174" s="6"/>
      <c r="G174" s="6"/>
      <c r="H174" s="6"/>
      <c r="I174" s="6"/>
    </row>
    <row r="175" spans="6:9" x14ac:dyDescent="0.2">
      <c r="F175" s="6"/>
      <c r="G175" s="6"/>
      <c r="H175" s="6"/>
      <c r="I175" s="6"/>
    </row>
    <row r="176" spans="6:9" x14ac:dyDescent="0.2">
      <c r="F176" s="6"/>
      <c r="G176" s="6"/>
      <c r="H176" s="6"/>
      <c r="I176" s="6"/>
    </row>
    <row r="177" spans="6:9" x14ac:dyDescent="0.2">
      <c r="F177" s="6"/>
      <c r="G177" s="6"/>
      <c r="H177" s="6"/>
      <c r="I177" s="6"/>
    </row>
    <row r="178" spans="6:9" x14ac:dyDescent="0.2">
      <c r="F178" s="6"/>
      <c r="G178" s="6"/>
      <c r="H178" s="6"/>
      <c r="I178" s="6"/>
    </row>
    <row r="179" spans="6:9" x14ac:dyDescent="0.2">
      <c r="F179" s="6"/>
      <c r="G179" s="6"/>
      <c r="H179" s="6"/>
      <c r="I179" s="6"/>
    </row>
    <row r="180" spans="6:9" x14ac:dyDescent="0.2">
      <c r="F180" s="6"/>
      <c r="G180" s="6"/>
      <c r="H180" s="6"/>
      <c r="I180" s="6"/>
    </row>
    <row r="181" spans="6:9" x14ac:dyDescent="0.2">
      <c r="F181" s="6"/>
      <c r="G181" s="6"/>
      <c r="H181" s="6"/>
      <c r="I181" s="6"/>
    </row>
    <row r="182" spans="6:9" x14ac:dyDescent="0.2">
      <c r="F182" s="6"/>
      <c r="G182" s="6"/>
      <c r="H182" s="6"/>
      <c r="I182" s="6"/>
    </row>
    <row r="183" spans="6:9" x14ac:dyDescent="0.2">
      <c r="F183" s="6"/>
      <c r="G183" s="6"/>
      <c r="H183" s="6"/>
      <c r="I183" s="6"/>
    </row>
    <row r="184" spans="6:9" x14ac:dyDescent="0.2">
      <c r="F184" s="6"/>
      <c r="G184" s="6"/>
      <c r="H184" s="6"/>
      <c r="I184" s="6"/>
    </row>
    <row r="185" spans="6:9" x14ac:dyDescent="0.2">
      <c r="F185" s="6"/>
      <c r="G185" s="6"/>
      <c r="H185" s="6"/>
      <c r="I185" s="6"/>
    </row>
    <row r="186" spans="6:9" x14ac:dyDescent="0.2">
      <c r="F186" s="6"/>
      <c r="G186" s="6"/>
      <c r="H186" s="6"/>
      <c r="I186" s="6"/>
    </row>
    <row r="187" spans="6:9" x14ac:dyDescent="0.2">
      <c r="F187" s="6"/>
      <c r="G187" s="6"/>
      <c r="H187" s="6"/>
      <c r="I187" s="6"/>
    </row>
    <row r="188" spans="6:9" x14ac:dyDescent="0.2">
      <c r="F188" s="6"/>
      <c r="G188" s="6"/>
      <c r="H188" s="6"/>
      <c r="I188" s="6"/>
    </row>
    <row r="189" spans="6:9" x14ac:dyDescent="0.2">
      <c r="F189" s="6"/>
      <c r="G189" s="6"/>
      <c r="H189" s="6"/>
      <c r="I189" s="6"/>
    </row>
    <row r="190" spans="6:9" x14ac:dyDescent="0.2">
      <c r="F190" s="6"/>
      <c r="G190" s="6"/>
      <c r="H190" s="6"/>
      <c r="I190" s="6"/>
    </row>
    <row r="191" spans="6:9" x14ac:dyDescent="0.2">
      <c r="F191" s="6"/>
      <c r="G191" s="6"/>
      <c r="H191" s="6"/>
      <c r="I191" s="6"/>
    </row>
    <row r="192" spans="6:9" x14ac:dyDescent="0.2">
      <c r="F192" s="6"/>
      <c r="G192" s="6"/>
      <c r="H192" s="6"/>
      <c r="I192" s="6"/>
    </row>
    <row r="193" spans="6:9" x14ac:dyDescent="0.2">
      <c r="F193" s="6"/>
      <c r="G193" s="6"/>
      <c r="H193" s="6"/>
      <c r="I193" s="6"/>
    </row>
    <row r="194" spans="6:9" x14ac:dyDescent="0.2">
      <c r="F194" s="6"/>
      <c r="G194" s="6"/>
      <c r="H194" s="6"/>
      <c r="I194" s="6"/>
    </row>
    <row r="195" spans="6:9" x14ac:dyDescent="0.2">
      <c r="F195" s="6"/>
      <c r="G195" s="6"/>
      <c r="H195" s="6"/>
      <c r="I195" s="6"/>
    </row>
    <row r="196" spans="6:9" x14ac:dyDescent="0.2">
      <c r="F196" s="6"/>
      <c r="G196" s="6"/>
      <c r="H196" s="6"/>
      <c r="I196" s="6"/>
    </row>
    <row r="197" spans="6:9" x14ac:dyDescent="0.2">
      <c r="F197" s="6"/>
      <c r="G197" s="6"/>
      <c r="H197" s="6"/>
      <c r="I197" s="6"/>
    </row>
    <row r="198" spans="6:9" x14ac:dyDescent="0.2">
      <c r="F198" s="6"/>
      <c r="G198" s="6"/>
      <c r="H198" s="6"/>
      <c r="I198" s="6"/>
    </row>
    <row r="199" spans="6:9" x14ac:dyDescent="0.2">
      <c r="F199" s="6"/>
      <c r="G199" s="6"/>
      <c r="H199" s="6"/>
      <c r="I199" s="6"/>
    </row>
    <row r="200" spans="6:9" x14ac:dyDescent="0.2">
      <c r="F200" s="6"/>
      <c r="G200" s="6"/>
      <c r="H200" s="6"/>
      <c r="I200" s="6"/>
    </row>
    <row r="201" spans="6:9" x14ac:dyDescent="0.2">
      <c r="F201" s="6"/>
      <c r="G201" s="6"/>
      <c r="H201" s="6"/>
      <c r="I201" s="6"/>
    </row>
    <row r="202" spans="6:9" x14ac:dyDescent="0.2">
      <c r="F202" s="6"/>
      <c r="G202" s="6"/>
      <c r="H202" s="6"/>
      <c r="I202" s="6"/>
    </row>
    <row r="203" spans="6:9" x14ac:dyDescent="0.2">
      <c r="F203" s="6"/>
      <c r="G203" s="6"/>
      <c r="H203" s="6"/>
      <c r="I203" s="6"/>
    </row>
    <row r="204" spans="6:9" x14ac:dyDescent="0.2">
      <c r="F204" s="6"/>
      <c r="G204" s="6"/>
      <c r="H204" s="6"/>
      <c r="I204" s="6"/>
    </row>
    <row r="205" spans="6:9" x14ac:dyDescent="0.2">
      <c r="F205" s="6"/>
      <c r="G205" s="6"/>
      <c r="H205" s="6"/>
      <c r="I205" s="6"/>
    </row>
    <row r="206" spans="6:9" x14ac:dyDescent="0.2">
      <c r="F206" s="6"/>
      <c r="G206" s="6"/>
      <c r="H206" s="6"/>
      <c r="I206" s="6"/>
    </row>
    <row r="207" spans="6:9" x14ac:dyDescent="0.2">
      <c r="F207" s="6"/>
      <c r="G207" s="6"/>
      <c r="H207" s="6"/>
      <c r="I207" s="6"/>
    </row>
    <row r="208" spans="6:9" x14ac:dyDescent="0.2">
      <c r="F208" s="6"/>
      <c r="G208" s="6"/>
      <c r="H208" s="6"/>
      <c r="I208" s="6"/>
    </row>
    <row r="209" spans="6:9" x14ac:dyDescent="0.2">
      <c r="F209" s="6"/>
      <c r="G209" s="6"/>
      <c r="H209" s="6"/>
      <c r="I209" s="6"/>
    </row>
    <row r="210" spans="6:9" x14ac:dyDescent="0.2">
      <c r="F210" s="6"/>
      <c r="G210" s="6"/>
      <c r="H210" s="6"/>
      <c r="I210" s="6"/>
    </row>
    <row r="211" spans="6:9" x14ac:dyDescent="0.2">
      <c r="F211" s="6"/>
      <c r="G211" s="6"/>
      <c r="H211" s="6"/>
      <c r="I211" s="6"/>
    </row>
    <row r="212" spans="6:9" x14ac:dyDescent="0.2">
      <c r="F212" s="6"/>
      <c r="G212" s="6"/>
      <c r="H212" s="6"/>
      <c r="I212" s="6"/>
    </row>
    <row r="213" spans="6:9" x14ac:dyDescent="0.2">
      <c r="F213" s="6"/>
      <c r="G213" s="6"/>
      <c r="H213" s="6"/>
      <c r="I213" s="6"/>
    </row>
    <row r="214" spans="6:9" x14ac:dyDescent="0.2">
      <c r="F214" s="6"/>
      <c r="G214" s="6"/>
      <c r="H214" s="6"/>
      <c r="I214" s="6"/>
    </row>
    <row r="215" spans="6:9" x14ac:dyDescent="0.2">
      <c r="F215" s="6"/>
      <c r="G215" s="6"/>
      <c r="H215" s="6"/>
      <c r="I215" s="6"/>
    </row>
    <row r="216" spans="6:9" x14ac:dyDescent="0.2">
      <c r="F216" s="6"/>
      <c r="G216" s="6"/>
      <c r="H216" s="6"/>
      <c r="I216" s="6"/>
    </row>
    <row r="217" spans="6:9" x14ac:dyDescent="0.2">
      <c r="F217" s="6"/>
      <c r="G217" s="6"/>
      <c r="H217" s="6"/>
      <c r="I217" s="6"/>
    </row>
    <row r="218" spans="6:9" x14ac:dyDescent="0.2">
      <c r="F218" s="6"/>
      <c r="G218" s="6"/>
      <c r="H218" s="6"/>
      <c r="I218" s="6"/>
    </row>
    <row r="219" spans="6:9" x14ac:dyDescent="0.2">
      <c r="F219" s="6"/>
      <c r="G219" s="6"/>
      <c r="H219" s="6"/>
      <c r="I219" s="6"/>
    </row>
    <row r="220" spans="6:9" x14ac:dyDescent="0.2">
      <c r="F220" s="6"/>
      <c r="G220" s="6"/>
      <c r="H220" s="6"/>
      <c r="I220" s="6"/>
    </row>
    <row r="221" spans="6:9" x14ac:dyDescent="0.2">
      <c r="F221" s="6"/>
      <c r="G221" s="6"/>
      <c r="H221" s="6"/>
      <c r="I221" s="6"/>
    </row>
    <row r="222" spans="6:9" x14ac:dyDescent="0.2">
      <c r="F222" s="6"/>
      <c r="G222" s="6"/>
      <c r="H222" s="6"/>
      <c r="I222" s="6"/>
    </row>
    <row r="223" spans="6:9" x14ac:dyDescent="0.2">
      <c r="F223" s="6"/>
      <c r="G223" s="6"/>
      <c r="H223" s="6"/>
      <c r="I223" s="6"/>
    </row>
    <row r="224" spans="6:9" x14ac:dyDescent="0.2">
      <c r="F224" s="6"/>
      <c r="G224" s="6"/>
      <c r="H224" s="6"/>
      <c r="I224" s="6"/>
    </row>
    <row r="225" spans="6:9" x14ac:dyDescent="0.2">
      <c r="F225" s="6"/>
      <c r="G225" s="6"/>
      <c r="H225" s="6"/>
      <c r="I225" s="6"/>
    </row>
    <row r="226" spans="6:9" x14ac:dyDescent="0.2">
      <c r="F226" s="6"/>
      <c r="G226" s="6"/>
      <c r="H226" s="6"/>
      <c r="I226" s="6"/>
    </row>
    <row r="227" spans="6:9" x14ac:dyDescent="0.2">
      <c r="F227" s="6"/>
      <c r="G227" s="6"/>
      <c r="H227" s="6"/>
      <c r="I227" s="6"/>
    </row>
  </sheetData>
  <sheetProtection password="E403" sheet="1" objects="1" scenarios="1"/>
  <dataConsolidate/>
  <mergeCells count="4">
    <mergeCell ref="H2:J3"/>
    <mergeCell ref="C2:E3"/>
    <mergeCell ref="B5:B19"/>
    <mergeCell ref="G5:G19"/>
  </mergeCells>
  <dataValidations count="2">
    <dataValidation operator="equal" allowBlank="1" showInputMessage="1" showErrorMessage="1" sqref="D5 I5"/>
    <dataValidation type="decimal" allowBlank="1" showInputMessage="1" showErrorMessage="1" sqref="N8:O10">
      <formula1>0</formula1>
      <formula2>200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1"/>
  <sheetViews>
    <sheetView zoomScaleNormal="100" workbookViewId="0">
      <selection activeCell="B3" sqref="B3"/>
    </sheetView>
  </sheetViews>
  <sheetFormatPr defaultRowHeight="12.75" x14ac:dyDescent="0.2"/>
  <cols>
    <col min="1" max="1" width="16" customWidth="1"/>
    <col min="4" max="4" width="11.85546875" customWidth="1"/>
    <col min="8" max="8" width="11.5703125" customWidth="1"/>
    <col min="11" max="11" width="11" customWidth="1"/>
    <col min="15" max="15" width="13.28515625" customWidth="1"/>
    <col min="17" max="17" width="11.42578125" customWidth="1"/>
    <col min="21" max="21" width="11.7109375" customWidth="1"/>
  </cols>
  <sheetData>
    <row r="1" spans="1:23" x14ac:dyDescent="0.2">
      <c r="A1" s="73"/>
      <c r="B1" s="73"/>
      <c r="C1" s="73"/>
      <c r="D1" s="73"/>
      <c r="E1" s="73"/>
      <c r="F1" s="73"/>
      <c r="G1" s="73"/>
      <c r="H1" s="73"/>
      <c r="I1" s="73"/>
      <c r="J1" s="74"/>
      <c r="K1" s="69"/>
      <c r="N1" s="89"/>
      <c r="O1" s="81"/>
      <c r="P1" s="81"/>
      <c r="Q1" s="81"/>
      <c r="R1" s="81"/>
      <c r="S1" s="81"/>
      <c r="T1" s="81"/>
      <c r="U1" s="81"/>
      <c r="V1" s="81"/>
      <c r="W1" s="85"/>
    </row>
    <row r="2" spans="1:23" ht="23.25" customHeight="1" x14ac:dyDescent="0.2">
      <c r="A2" s="172" t="s">
        <v>65</v>
      </c>
      <c r="B2" s="172"/>
      <c r="C2" s="172"/>
      <c r="D2" s="172"/>
      <c r="E2" s="73"/>
      <c r="F2" s="189" t="s">
        <v>60</v>
      </c>
      <c r="G2" s="189"/>
      <c r="H2" s="189"/>
      <c r="I2" s="65">
        <v>7</v>
      </c>
      <c r="J2" s="74"/>
      <c r="K2" s="69"/>
      <c r="N2" s="190" t="s">
        <v>66</v>
      </c>
      <c r="O2" s="172"/>
      <c r="P2" s="172"/>
      <c r="Q2" s="172"/>
      <c r="R2" s="81"/>
      <c r="S2" s="189" t="s">
        <v>60</v>
      </c>
      <c r="T2" s="189"/>
      <c r="U2" s="189"/>
      <c r="V2" s="67">
        <v>7</v>
      </c>
      <c r="W2" s="85"/>
    </row>
    <row r="3" spans="1:23" x14ac:dyDescent="0.2">
      <c r="A3" s="75"/>
      <c r="B3" s="75"/>
      <c r="C3" s="75"/>
      <c r="D3" s="75"/>
      <c r="E3" s="75"/>
      <c r="F3" s="75"/>
      <c r="G3" s="75"/>
      <c r="H3" s="75"/>
      <c r="I3" s="75"/>
      <c r="J3" s="76"/>
      <c r="K3" s="69"/>
      <c r="N3" s="90"/>
      <c r="O3" s="82"/>
      <c r="P3" s="82"/>
      <c r="Q3" s="82"/>
      <c r="R3" s="82"/>
      <c r="S3" s="82"/>
      <c r="T3" s="82"/>
      <c r="U3" s="82"/>
      <c r="V3" s="82"/>
      <c r="W3" s="86"/>
    </row>
    <row r="4" spans="1:23" ht="26.25" customHeight="1" x14ac:dyDescent="0.2">
      <c r="A4" s="70" t="s">
        <v>56</v>
      </c>
      <c r="B4" s="173" t="s">
        <v>57</v>
      </c>
      <c r="C4" s="174"/>
      <c r="D4" s="175"/>
      <c r="E4" s="187" t="s">
        <v>58</v>
      </c>
      <c r="F4" s="187"/>
      <c r="G4" s="187"/>
      <c r="H4" s="188" t="s">
        <v>59</v>
      </c>
      <c r="I4" s="188"/>
      <c r="J4" s="188"/>
      <c r="K4" s="69"/>
      <c r="N4" s="70" t="s">
        <v>56</v>
      </c>
      <c r="O4" s="187" t="s">
        <v>57</v>
      </c>
      <c r="P4" s="187"/>
      <c r="Q4" s="187"/>
      <c r="R4" s="187" t="s">
        <v>58</v>
      </c>
      <c r="S4" s="187"/>
      <c r="T4" s="187"/>
      <c r="U4" s="188" t="s">
        <v>59</v>
      </c>
      <c r="V4" s="188"/>
      <c r="W4" s="188"/>
    </row>
    <row r="5" spans="1:23" x14ac:dyDescent="0.2">
      <c r="A5" s="118" t="s">
        <v>116</v>
      </c>
      <c r="B5" s="169">
        <v>14</v>
      </c>
      <c r="C5" s="170"/>
      <c r="D5" s="171"/>
      <c r="E5" s="169">
        <v>6</v>
      </c>
      <c r="F5" s="170"/>
      <c r="G5" s="171"/>
      <c r="H5" s="176">
        <v>84</v>
      </c>
      <c r="I5" s="177"/>
      <c r="J5" s="178"/>
      <c r="K5" s="69"/>
      <c r="N5" s="118" t="s">
        <v>116</v>
      </c>
      <c r="O5" s="169">
        <v>6</v>
      </c>
      <c r="P5" s="170"/>
      <c r="Q5" s="171"/>
      <c r="R5" s="169">
        <v>6</v>
      </c>
      <c r="S5" s="170"/>
      <c r="T5" s="171"/>
      <c r="U5" s="176">
        <v>36</v>
      </c>
      <c r="V5" s="177"/>
      <c r="W5" s="178"/>
    </row>
    <row r="6" spans="1:23" x14ac:dyDescent="0.2">
      <c r="A6" s="118" t="s">
        <v>117</v>
      </c>
      <c r="B6" s="169">
        <v>14</v>
      </c>
      <c r="C6" s="170"/>
      <c r="D6" s="171"/>
      <c r="E6" s="169">
        <v>6</v>
      </c>
      <c r="F6" s="170"/>
      <c r="G6" s="171"/>
      <c r="H6" s="176">
        <v>84</v>
      </c>
      <c r="I6" s="177"/>
      <c r="J6" s="178"/>
      <c r="K6" s="69"/>
      <c r="N6" s="118" t="s">
        <v>117</v>
      </c>
      <c r="O6" s="169">
        <v>6</v>
      </c>
      <c r="P6" s="170"/>
      <c r="Q6" s="171"/>
      <c r="R6" s="169">
        <v>6</v>
      </c>
      <c r="S6" s="170"/>
      <c r="T6" s="171"/>
      <c r="U6" s="176">
        <v>36</v>
      </c>
      <c r="V6" s="177"/>
      <c r="W6" s="178"/>
    </row>
    <row r="7" spans="1:23" x14ac:dyDescent="0.2">
      <c r="A7" s="118" t="s">
        <v>118</v>
      </c>
      <c r="B7" s="169">
        <v>14</v>
      </c>
      <c r="C7" s="170"/>
      <c r="D7" s="171"/>
      <c r="E7" s="169">
        <v>6</v>
      </c>
      <c r="F7" s="170"/>
      <c r="G7" s="171"/>
      <c r="H7" s="176">
        <v>84</v>
      </c>
      <c r="I7" s="177"/>
      <c r="J7" s="178"/>
      <c r="K7" s="69"/>
      <c r="N7" s="118" t="s">
        <v>118</v>
      </c>
      <c r="O7" s="169">
        <v>6</v>
      </c>
      <c r="P7" s="170"/>
      <c r="Q7" s="171"/>
      <c r="R7" s="169">
        <v>6</v>
      </c>
      <c r="S7" s="170"/>
      <c r="T7" s="171"/>
      <c r="U7" s="176">
        <v>36</v>
      </c>
      <c r="V7" s="177"/>
      <c r="W7" s="178"/>
    </row>
    <row r="8" spans="1:23" x14ac:dyDescent="0.2">
      <c r="A8" s="118" t="s">
        <v>119</v>
      </c>
      <c r="B8" s="169">
        <v>14</v>
      </c>
      <c r="C8" s="170"/>
      <c r="D8" s="171"/>
      <c r="E8" s="169">
        <v>6</v>
      </c>
      <c r="F8" s="170"/>
      <c r="G8" s="171"/>
      <c r="H8" s="176">
        <v>84</v>
      </c>
      <c r="I8" s="177"/>
      <c r="J8" s="178"/>
      <c r="K8" s="69"/>
      <c r="N8" s="118" t="s">
        <v>119</v>
      </c>
      <c r="O8" s="169">
        <v>6</v>
      </c>
      <c r="P8" s="170"/>
      <c r="Q8" s="171"/>
      <c r="R8" s="169">
        <v>6</v>
      </c>
      <c r="S8" s="170"/>
      <c r="T8" s="171"/>
      <c r="U8" s="176">
        <v>36</v>
      </c>
      <c r="V8" s="177"/>
      <c r="W8" s="178"/>
    </row>
    <row r="9" spans="1:23" x14ac:dyDescent="0.2">
      <c r="A9" s="118" t="s">
        <v>120</v>
      </c>
      <c r="B9" s="169">
        <v>14</v>
      </c>
      <c r="C9" s="170"/>
      <c r="D9" s="171"/>
      <c r="E9" s="169">
        <v>6</v>
      </c>
      <c r="F9" s="170"/>
      <c r="G9" s="171"/>
      <c r="H9" s="176">
        <v>84</v>
      </c>
      <c r="I9" s="177"/>
      <c r="J9" s="178"/>
      <c r="K9" s="69"/>
      <c r="N9" s="118" t="s">
        <v>120</v>
      </c>
      <c r="O9" s="169">
        <v>6</v>
      </c>
      <c r="P9" s="170"/>
      <c r="Q9" s="171"/>
      <c r="R9" s="169">
        <v>6</v>
      </c>
      <c r="S9" s="170"/>
      <c r="T9" s="171"/>
      <c r="U9" s="176">
        <v>36</v>
      </c>
      <c r="V9" s="177"/>
      <c r="W9" s="178"/>
    </row>
    <row r="10" spans="1:23" x14ac:dyDescent="0.2">
      <c r="A10" s="118" t="s">
        <v>121</v>
      </c>
      <c r="B10" s="169">
        <v>14</v>
      </c>
      <c r="C10" s="170"/>
      <c r="D10" s="171"/>
      <c r="E10" s="169">
        <v>6</v>
      </c>
      <c r="F10" s="170"/>
      <c r="G10" s="171"/>
      <c r="H10" s="176">
        <v>84</v>
      </c>
      <c r="I10" s="177"/>
      <c r="J10" s="178"/>
      <c r="K10" s="69"/>
      <c r="N10" s="118" t="s">
        <v>121</v>
      </c>
      <c r="O10" s="169">
        <v>6</v>
      </c>
      <c r="P10" s="170"/>
      <c r="Q10" s="171"/>
      <c r="R10" s="169">
        <v>6</v>
      </c>
      <c r="S10" s="170"/>
      <c r="T10" s="171"/>
      <c r="U10" s="176">
        <v>36</v>
      </c>
      <c r="V10" s="177"/>
      <c r="W10" s="178"/>
    </row>
    <row r="11" spans="1:23" x14ac:dyDescent="0.2">
      <c r="A11" s="119" t="s">
        <v>122</v>
      </c>
      <c r="B11" s="169">
        <v>14</v>
      </c>
      <c r="C11" s="170"/>
      <c r="D11" s="171"/>
      <c r="E11" s="169">
        <v>6</v>
      </c>
      <c r="F11" s="170"/>
      <c r="G11" s="171"/>
      <c r="H11" s="176">
        <v>84</v>
      </c>
      <c r="I11" s="177"/>
      <c r="J11" s="178"/>
      <c r="K11" s="69"/>
      <c r="N11" s="119" t="s">
        <v>122</v>
      </c>
      <c r="O11" s="169">
        <v>6</v>
      </c>
      <c r="P11" s="170"/>
      <c r="Q11" s="171"/>
      <c r="R11" s="169">
        <v>6</v>
      </c>
      <c r="S11" s="170"/>
      <c r="T11" s="171"/>
      <c r="U11" s="176">
        <v>36</v>
      </c>
      <c r="V11" s="177"/>
      <c r="W11" s="178"/>
    </row>
    <row r="12" spans="1:23" x14ac:dyDescent="0.2">
      <c r="A12" s="119"/>
      <c r="B12" s="169"/>
      <c r="C12" s="170"/>
      <c r="D12" s="171"/>
      <c r="E12" s="169"/>
      <c r="F12" s="170"/>
      <c r="G12" s="171"/>
      <c r="H12" s="176"/>
      <c r="I12" s="177"/>
      <c r="J12" s="178"/>
      <c r="K12" s="69"/>
      <c r="N12" s="96"/>
      <c r="O12" s="169"/>
      <c r="P12" s="170"/>
      <c r="Q12" s="171"/>
      <c r="R12" s="169"/>
      <c r="S12" s="170"/>
      <c r="T12" s="171"/>
      <c r="U12" s="176"/>
      <c r="V12" s="177"/>
      <c r="W12" s="178"/>
    </row>
    <row r="13" spans="1:23" ht="15.75" x14ac:dyDescent="0.25">
      <c r="A13" s="120"/>
      <c r="B13" s="75"/>
      <c r="C13" s="75"/>
      <c r="D13" s="75"/>
      <c r="E13" s="75"/>
      <c r="F13" s="75"/>
      <c r="G13" s="71" t="s">
        <v>61</v>
      </c>
      <c r="H13" s="176">
        <f>SUM(H5:J11)</f>
        <v>588</v>
      </c>
      <c r="I13" s="177"/>
      <c r="J13" s="178"/>
      <c r="K13" s="69"/>
      <c r="N13" s="90"/>
      <c r="O13" s="82"/>
      <c r="P13" s="82"/>
      <c r="Q13" s="82"/>
      <c r="R13" s="82"/>
      <c r="S13" s="82"/>
      <c r="T13" s="71" t="s">
        <v>61</v>
      </c>
      <c r="U13" s="195">
        <v>252</v>
      </c>
      <c r="V13" s="196"/>
      <c r="W13" s="197"/>
    </row>
    <row r="14" spans="1:23" x14ac:dyDescent="0.2">
      <c r="A14" s="75"/>
      <c r="B14" s="73"/>
      <c r="C14" s="75"/>
      <c r="D14" s="75"/>
      <c r="E14" s="75"/>
      <c r="F14" s="75"/>
      <c r="G14" s="75"/>
      <c r="H14" s="75"/>
      <c r="I14" s="75"/>
      <c r="J14" s="76"/>
      <c r="K14" s="69"/>
      <c r="N14" s="90"/>
      <c r="O14" s="81"/>
      <c r="P14" s="82"/>
      <c r="Q14" s="82"/>
      <c r="R14" s="82"/>
      <c r="S14" s="82"/>
      <c r="T14" s="82"/>
      <c r="U14" s="82"/>
      <c r="V14" s="82"/>
      <c r="W14" s="86"/>
    </row>
    <row r="15" spans="1:23" x14ac:dyDescent="0.2">
      <c r="A15" s="75"/>
      <c r="B15" s="75"/>
      <c r="C15" s="75"/>
      <c r="D15" s="75"/>
      <c r="E15" s="75"/>
      <c r="F15" s="75"/>
      <c r="G15" s="75"/>
      <c r="H15" s="75"/>
      <c r="I15" s="75"/>
      <c r="J15" s="76"/>
      <c r="K15" s="69"/>
      <c r="N15" s="90"/>
      <c r="O15" s="82"/>
      <c r="P15" s="82"/>
      <c r="Q15" s="82"/>
      <c r="R15" s="82"/>
      <c r="S15" s="82"/>
      <c r="T15" s="82"/>
      <c r="U15" s="82"/>
      <c r="V15" s="82"/>
      <c r="W15" s="86"/>
    </row>
    <row r="16" spans="1:23" ht="26.25" customHeight="1" x14ac:dyDescent="0.2">
      <c r="A16" s="75"/>
      <c r="B16" s="186" t="s">
        <v>62</v>
      </c>
      <c r="C16" s="186"/>
      <c r="D16" s="72" t="s">
        <v>63</v>
      </c>
      <c r="E16" s="180" t="s">
        <v>64</v>
      </c>
      <c r="F16" s="181"/>
      <c r="G16" s="181"/>
      <c r="H16" s="182"/>
      <c r="I16" s="77"/>
      <c r="J16" s="78"/>
      <c r="K16" s="69"/>
      <c r="N16" s="90"/>
      <c r="O16" s="186" t="s">
        <v>62</v>
      </c>
      <c r="P16" s="186"/>
      <c r="Q16" s="72" t="s">
        <v>63</v>
      </c>
      <c r="R16" s="180" t="s">
        <v>64</v>
      </c>
      <c r="S16" s="181"/>
      <c r="T16" s="181"/>
      <c r="U16" s="182"/>
      <c r="V16" s="83"/>
      <c r="W16" s="87"/>
    </row>
    <row r="17" spans="1:23" x14ac:dyDescent="0.2">
      <c r="A17" s="75"/>
      <c r="B17" s="179">
        <v>14</v>
      </c>
      <c r="C17" s="179"/>
      <c r="D17" s="66">
        <v>0.1</v>
      </c>
      <c r="E17" s="183">
        <v>431</v>
      </c>
      <c r="F17" s="184"/>
      <c r="G17" s="184"/>
      <c r="H17" s="185"/>
      <c r="I17" s="75"/>
      <c r="J17" s="76"/>
      <c r="K17" s="69"/>
      <c r="N17" s="90"/>
      <c r="O17" s="191">
        <v>7</v>
      </c>
      <c r="P17" s="191"/>
      <c r="Q17" s="68">
        <v>0.1</v>
      </c>
      <c r="R17" s="192">
        <v>178</v>
      </c>
      <c r="S17" s="193"/>
      <c r="T17" s="193"/>
      <c r="U17" s="194"/>
      <c r="V17" s="82"/>
      <c r="W17" s="86"/>
    </row>
    <row r="18" spans="1:23" x14ac:dyDescent="0.2">
      <c r="A18" s="75"/>
      <c r="B18" s="75"/>
      <c r="C18" s="75"/>
      <c r="D18" s="75"/>
      <c r="E18" s="75"/>
      <c r="F18" s="75"/>
      <c r="G18" s="75"/>
      <c r="H18" s="75"/>
      <c r="I18" s="75"/>
      <c r="J18" s="76"/>
      <c r="K18" s="69"/>
      <c r="N18" s="90"/>
      <c r="O18" s="82"/>
      <c r="P18" s="82"/>
      <c r="Q18" s="82"/>
      <c r="R18" s="82"/>
      <c r="S18" s="82"/>
      <c r="T18" s="82"/>
      <c r="U18" s="82"/>
      <c r="V18" s="82"/>
      <c r="W18" s="86"/>
    </row>
    <row r="19" spans="1:23" x14ac:dyDescent="0.2">
      <c r="A19" s="79"/>
      <c r="B19" s="79"/>
      <c r="C19" s="79"/>
      <c r="D19" s="79"/>
      <c r="E19" s="79"/>
      <c r="F19" s="79"/>
      <c r="G19" s="79"/>
      <c r="H19" s="79"/>
      <c r="I19" s="79"/>
      <c r="J19" s="80"/>
      <c r="K19" s="69"/>
      <c r="N19" s="91"/>
      <c r="O19" s="84"/>
      <c r="P19" s="84"/>
      <c r="Q19" s="84"/>
      <c r="R19" s="84"/>
      <c r="S19" s="84"/>
      <c r="T19" s="84"/>
      <c r="U19" s="84"/>
      <c r="V19" s="84"/>
      <c r="W19" s="88"/>
    </row>
    <row r="20" spans="1:23" ht="14.25" customHeight="1" x14ac:dyDescent="0.2">
      <c r="H20" s="5"/>
      <c r="I20" s="5"/>
      <c r="J20" s="5"/>
      <c r="K20" s="5"/>
      <c r="L20" s="5"/>
      <c r="M20" s="5"/>
      <c r="N20" s="5"/>
      <c r="O20" s="5"/>
      <c r="P20" s="5"/>
      <c r="Q20" s="5"/>
    </row>
    <row r="21" spans="1:23" ht="14.25" customHeight="1" x14ac:dyDescent="0.2">
      <c r="H21" s="5"/>
      <c r="I21" s="5"/>
      <c r="J21" s="5"/>
      <c r="K21" s="5"/>
      <c r="L21" s="5"/>
      <c r="M21" s="5"/>
      <c r="N21" s="5"/>
      <c r="O21" s="5"/>
      <c r="P21" s="5"/>
      <c r="Q21" s="5"/>
    </row>
  </sheetData>
  <sheetProtection selectLockedCells="1"/>
  <mergeCells count="68">
    <mergeCell ref="O17:P17"/>
    <mergeCell ref="R17:U17"/>
    <mergeCell ref="O12:Q12"/>
    <mergeCell ref="R12:T12"/>
    <mergeCell ref="U12:W12"/>
    <mergeCell ref="U13:W13"/>
    <mergeCell ref="O16:P16"/>
    <mergeCell ref="R16:U16"/>
    <mergeCell ref="R10:T10"/>
    <mergeCell ref="U10:W10"/>
    <mergeCell ref="O11:Q11"/>
    <mergeCell ref="R11:T11"/>
    <mergeCell ref="U11:W11"/>
    <mergeCell ref="O10:Q10"/>
    <mergeCell ref="R8:T8"/>
    <mergeCell ref="U8:W8"/>
    <mergeCell ref="O9:Q9"/>
    <mergeCell ref="R9:T9"/>
    <mergeCell ref="U9:W9"/>
    <mergeCell ref="O8:Q8"/>
    <mergeCell ref="R6:T6"/>
    <mergeCell ref="U6:W6"/>
    <mergeCell ref="O7:Q7"/>
    <mergeCell ref="R7:T7"/>
    <mergeCell ref="U7:W7"/>
    <mergeCell ref="O6:Q6"/>
    <mergeCell ref="S2:U2"/>
    <mergeCell ref="O4:Q4"/>
    <mergeCell ref="R4:T4"/>
    <mergeCell ref="U4:W4"/>
    <mergeCell ref="O5:Q5"/>
    <mergeCell ref="R5:T5"/>
    <mergeCell ref="U5:W5"/>
    <mergeCell ref="N2:Q2"/>
    <mergeCell ref="E4:G4"/>
    <mergeCell ref="E7:G7"/>
    <mergeCell ref="H4:J4"/>
    <mergeCell ref="F2:H2"/>
    <mergeCell ref="E5:G5"/>
    <mergeCell ref="H5:J5"/>
    <mergeCell ref="E6:G6"/>
    <mergeCell ref="H6:J6"/>
    <mergeCell ref="H7:J7"/>
    <mergeCell ref="B17:C17"/>
    <mergeCell ref="E16:H16"/>
    <mergeCell ref="E17:H17"/>
    <mergeCell ref="H12:J12"/>
    <mergeCell ref="H13:J13"/>
    <mergeCell ref="E12:G12"/>
    <mergeCell ref="B16:C16"/>
    <mergeCell ref="E8:G8"/>
    <mergeCell ref="H8:J8"/>
    <mergeCell ref="E9:G9"/>
    <mergeCell ref="H9:J9"/>
    <mergeCell ref="E10:G10"/>
    <mergeCell ref="H10:J10"/>
    <mergeCell ref="B9:D9"/>
    <mergeCell ref="B10:D10"/>
    <mergeCell ref="B12:D12"/>
    <mergeCell ref="H11:J11"/>
    <mergeCell ref="B11:D11"/>
    <mergeCell ref="E11:G11"/>
    <mergeCell ref="B8:D8"/>
    <mergeCell ref="A2:D2"/>
    <mergeCell ref="B4:D4"/>
    <mergeCell ref="B5:D5"/>
    <mergeCell ref="B6:D6"/>
    <mergeCell ref="B7:D7"/>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W79"/>
  <sheetViews>
    <sheetView showGridLines="0" zoomScale="70" zoomScaleNormal="70" workbookViewId="0">
      <selection activeCell="I32" sqref="I32"/>
    </sheetView>
  </sheetViews>
  <sheetFormatPr defaultRowHeight="11.25" x14ac:dyDescent="0.2"/>
  <cols>
    <col min="1" max="1" width="10" style="21" customWidth="1"/>
    <col min="2" max="2" width="9.7109375" style="36" customWidth="1"/>
    <col min="3" max="3" width="41.28515625" style="37" customWidth="1"/>
    <col min="4" max="4" width="11.42578125" style="38" customWidth="1"/>
    <col min="5" max="5" width="11.42578125" style="39" customWidth="1"/>
    <col min="6" max="6" width="9.7109375" style="40" customWidth="1"/>
    <col min="7" max="7" width="17" style="21" customWidth="1"/>
    <col min="8" max="8" width="13.28515625" style="41" customWidth="1"/>
    <col min="9" max="9" width="9.28515625" style="41" customWidth="1"/>
    <col min="10" max="10" width="10.85546875" style="41" customWidth="1"/>
    <col min="11" max="11" width="10.28515625" style="21" customWidth="1"/>
    <col min="12" max="12" width="10.140625" style="21" customWidth="1"/>
    <col min="13" max="16384" width="9.140625" style="21"/>
  </cols>
  <sheetData>
    <row r="1" spans="1:23" ht="39.950000000000003" customHeight="1" thickBot="1" x14ac:dyDescent="0.25">
      <c r="A1" s="92" t="s">
        <v>35</v>
      </c>
      <c r="B1" s="93"/>
      <c r="C1" s="93"/>
      <c r="D1" s="93"/>
      <c r="E1" s="93"/>
      <c r="F1" s="93"/>
      <c r="G1" s="93"/>
      <c r="H1" s="93"/>
      <c r="I1" s="93"/>
      <c r="J1" s="93"/>
      <c r="K1" s="93"/>
      <c r="L1" s="93"/>
      <c r="M1" s="93"/>
      <c r="N1" s="93"/>
      <c r="O1" s="93"/>
      <c r="P1" s="93"/>
      <c r="Q1" s="93"/>
      <c r="R1" s="93"/>
      <c r="S1" s="93"/>
      <c r="T1" s="94"/>
      <c r="U1" s="94"/>
      <c r="V1" s="93"/>
      <c r="W1" s="94"/>
    </row>
    <row r="2" spans="1:23" s="22" customFormat="1" ht="39.950000000000003" customHeight="1" x14ac:dyDescent="0.2">
      <c r="A2" s="202" t="s">
        <v>1</v>
      </c>
      <c r="B2" s="200" t="s">
        <v>3</v>
      </c>
      <c r="C2" s="198" t="s">
        <v>2</v>
      </c>
      <c r="D2" s="198" t="s">
        <v>8</v>
      </c>
      <c r="E2" s="205" t="s">
        <v>7</v>
      </c>
      <c r="F2" s="198" t="s">
        <v>4</v>
      </c>
      <c r="G2" s="198" t="s">
        <v>5</v>
      </c>
      <c r="H2" s="198" t="s">
        <v>0</v>
      </c>
      <c r="I2" s="99" t="s">
        <v>26</v>
      </c>
      <c r="J2" s="100" t="s">
        <v>23</v>
      </c>
      <c r="K2" s="100" t="s">
        <v>24</v>
      </c>
      <c r="L2" s="100" t="s">
        <v>25</v>
      </c>
      <c r="M2" s="100" t="s">
        <v>47</v>
      </c>
      <c r="N2" s="100" t="s">
        <v>48</v>
      </c>
      <c r="O2" s="100" t="s">
        <v>49</v>
      </c>
      <c r="P2" s="100" t="s">
        <v>50</v>
      </c>
      <c r="Q2" s="100" t="s">
        <v>51</v>
      </c>
      <c r="R2" s="100" t="s">
        <v>52</v>
      </c>
      <c r="S2" s="100" t="s">
        <v>53</v>
      </c>
      <c r="T2" s="100" t="s">
        <v>67</v>
      </c>
      <c r="U2" s="100" t="s">
        <v>68</v>
      </c>
      <c r="V2" s="100" t="s">
        <v>69</v>
      </c>
      <c r="W2" s="100" t="s">
        <v>70</v>
      </c>
    </row>
    <row r="3" spans="1:23" s="22" customFormat="1" ht="39.950000000000003" customHeight="1" x14ac:dyDescent="0.2">
      <c r="A3" s="203"/>
      <c r="B3" s="201"/>
      <c r="C3" s="199"/>
      <c r="D3" s="199"/>
      <c r="E3" s="206"/>
      <c r="F3" s="199"/>
      <c r="G3" s="199"/>
      <c r="H3" s="199"/>
      <c r="I3" s="101">
        <f t="shared" ref="I3:W3" si="0">SUM(I5:I775)</f>
        <v>430</v>
      </c>
      <c r="J3" s="101">
        <f t="shared" si="0"/>
        <v>390</v>
      </c>
      <c r="K3" s="101">
        <f t="shared" si="0"/>
        <v>366</v>
      </c>
      <c r="L3" s="101">
        <f t="shared" si="0"/>
        <v>333</v>
      </c>
      <c r="M3" s="101">
        <f t="shared" si="0"/>
        <v>314</v>
      </c>
      <c r="N3" s="101">
        <f t="shared" si="0"/>
        <v>302</v>
      </c>
      <c r="O3" s="101">
        <f t="shared" si="0"/>
        <v>271</v>
      </c>
      <c r="P3" s="101">
        <f t="shared" si="0"/>
        <v>233</v>
      </c>
      <c r="Q3" s="101">
        <f t="shared" si="0"/>
        <v>195</v>
      </c>
      <c r="R3" s="101">
        <f t="shared" si="0"/>
        <v>161</v>
      </c>
      <c r="S3" s="101">
        <f t="shared" si="0"/>
        <v>122</v>
      </c>
      <c r="T3" s="101">
        <f t="shared" si="0"/>
        <v>83</v>
      </c>
      <c r="U3" s="101">
        <f t="shared" si="0"/>
        <v>53</v>
      </c>
      <c r="V3" s="101">
        <f t="shared" si="0"/>
        <v>18</v>
      </c>
      <c r="W3" s="101">
        <f t="shared" si="0"/>
        <v>0</v>
      </c>
    </row>
    <row r="4" spans="1:23" s="22" customFormat="1" ht="39.950000000000003" customHeight="1" x14ac:dyDescent="0.2">
      <c r="A4" s="204" t="s">
        <v>33</v>
      </c>
      <c r="B4" s="204"/>
      <c r="C4" s="204"/>
      <c r="D4" s="204"/>
      <c r="E4" s="204"/>
      <c r="F4" s="204"/>
      <c r="G4" s="204"/>
      <c r="H4" s="204"/>
      <c r="I4" s="204"/>
      <c r="J4" s="204"/>
      <c r="K4" s="204"/>
      <c r="L4" s="204"/>
      <c r="M4" s="204"/>
      <c r="N4" s="204"/>
      <c r="O4" s="204"/>
      <c r="P4" s="204"/>
      <c r="Q4" s="204"/>
      <c r="R4" s="204"/>
      <c r="S4" s="204"/>
      <c r="T4" s="204"/>
      <c r="U4" s="204"/>
      <c r="V4" s="204"/>
      <c r="W4" s="204"/>
    </row>
    <row r="5" spans="1:23" ht="35.1" customHeight="1" x14ac:dyDescent="0.2">
      <c r="A5" s="110" t="s">
        <v>81</v>
      </c>
      <c r="B5" s="27" t="s">
        <v>82</v>
      </c>
      <c r="C5" s="111" t="s">
        <v>129</v>
      </c>
      <c r="D5" s="127">
        <v>43570</v>
      </c>
      <c r="E5" s="127">
        <v>43570</v>
      </c>
      <c r="F5" s="128">
        <v>707190</v>
      </c>
      <c r="G5" s="23" t="s">
        <v>74</v>
      </c>
      <c r="H5" s="25" t="s">
        <v>73</v>
      </c>
      <c r="I5" s="102">
        <v>12</v>
      </c>
      <c r="J5" s="102">
        <v>0</v>
      </c>
      <c r="K5" s="102">
        <v>0</v>
      </c>
      <c r="L5" s="102">
        <v>0</v>
      </c>
      <c r="M5" s="102">
        <v>0</v>
      </c>
      <c r="N5" s="102">
        <v>0</v>
      </c>
      <c r="O5" s="102">
        <v>0</v>
      </c>
      <c r="P5" s="102">
        <v>0</v>
      </c>
      <c r="Q5" s="102">
        <v>0</v>
      </c>
      <c r="R5" s="102">
        <v>0</v>
      </c>
      <c r="S5" s="102">
        <v>0</v>
      </c>
      <c r="T5" s="102">
        <v>0</v>
      </c>
      <c r="U5" s="102">
        <v>0</v>
      </c>
      <c r="V5" s="102">
        <v>0</v>
      </c>
      <c r="W5" s="102">
        <v>0</v>
      </c>
    </row>
    <row r="6" spans="1:23" ht="39.950000000000003" customHeight="1" x14ac:dyDescent="0.2">
      <c r="A6" s="112"/>
      <c r="B6" s="27" t="s">
        <v>83</v>
      </c>
      <c r="C6" s="98" t="s">
        <v>143</v>
      </c>
      <c r="D6" s="129">
        <v>43570</v>
      </c>
      <c r="E6" s="130">
        <v>43571</v>
      </c>
      <c r="F6" s="128">
        <v>834</v>
      </c>
      <c r="G6" s="23" t="s">
        <v>75</v>
      </c>
      <c r="H6" s="25" t="s">
        <v>73</v>
      </c>
      <c r="I6" s="102">
        <v>12</v>
      </c>
      <c r="J6" s="102">
        <v>6</v>
      </c>
      <c r="K6" s="102">
        <v>0</v>
      </c>
      <c r="L6" s="102">
        <v>0</v>
      </c>
      <c r="M6" s="102">
        <v>0</v>
      </c>
      <c r="N6" s="102">
        <v>0</v>
      </c>
      <c r="O6" s="102">
        <v>0</v>
      </c>
      <c r="P6" s="102">
        <v>0</v>
      </c>
      <c r="Q6" s="102">
        <v>0</v>
      </c>
      <c r="R6" s="102">
        <v>0</v>
      </c>
      <c r="S6" s="102">
        <v>0</v>
      </c>
      <c r="T6" s="102">
        <v>0</v>
      </c>
      <c r="U6" s="102">
        <v>0</v>
      </c>
      <c r="V6" s="102">
        <v>0</v>
      </c>
      <c r="W6" s="102">
        <v>0</v>
      </c>
    </row>
    <row r="7" spans="1:23" ht="39.950000000000003" customHeight="1" x14ac:dyDescent="0.2">
      <c r="A7" s="113"/>
      <c r="B7" s="27" t="s">
        <v>84</v>
      </c>
      <c r="C7" s="98" t="s">
        <v>142</v>
      </c>
      <c r="D7" s="129">
        <v>43571</v>
      </c>
      <c r="E7" s="129">
        <v>43572</v>
      </c>
      <c r="F7" s="128">
        <v>190707</v>
      </c>
      <c r="G7" s="23" t="s">
        <v>74</v>
      </c>
      <c r="H7" s="25" t="s">
        <v>73</v>
      </c>
      <c r="I7" s="102">
        <v>12</v>
      </c>
      <c r="J7" s="102">
        <v>12</v>
      </c>
      <c r="K7" s="102">
        <v>6</v>
      </c>
      <c r="L7" s="102">
        <v>0</v>
      </c>
      <c r="M7" s="102">
        <v>0</v>
      </c>
      <c r="N7" s="102">
        <v>0</v>
      </c>
      <c r="O7" s="102">
        <v>0</v>
      </c>
      <c r="P7" s="102">
        <v>0</v>
      </c>
      <c r="Q7" s="102">
        <v>0</v>
      </c>
      <c r="R7" s="102">
        <v>0</v>
      </c>
      <c r="S7" s="102">
        <v>0</v>
      </c>
      <c r="T7" s="102">
        <v>0</v>
      </c>
      <c r="U7" s="102">
        <v>0</v>
      </c>
      <c r="V7" s="102">
        <v>0</v>
      </c>
      <c r="W7" s="102">
        <v>0</v>
      </c>
    </row>
    <row r="8" spans="1:23" ht="39.950000000000003" customHeight="1" x14ac:dyDescent="0.2">
      <c r="A8" s="97"/>
      <c r="B8" s="27" t="s">
        <v>85</v>
      </c>
      <c r="C8" s="98" t="s">
        <v>86</v>
      </c>
      <c r="D8" s="129">
        <v>43572</v>
      </c>
      <c r="E8" s="129">
        <v>43578</v>
      </c>
      <c r="F8" s="128">
        <v>190707</v>
      </c>
      <c r="G8" s="23" t="s">
        <v>75</v>
      </c>
      <c r="H8" s="25" t="s">
        <v>73</v>
      </c>
      <c r="I8" s="102">
        <v>12</v>
      </c>
      <c r="J8" s="102">
        <v>12</v>
      </c>
      <c r="K8" s="102">
        <v>12</v>
      </c>
      <c r="L8" s="102">
        <v>10</v>
      </c>
      <c r="M8" s="102">
        <v>8</v>
      </c>
      <c r="N8" s="102">
        <v>5</v>
      </c>
      <c r="O8" s="102">
        <v>0</v>
      </c>
      <c r="P8" s="102">
        <v>0</v>
      </c>
      <c r="Q8" s="102">
        <v>0</v>
      </c>
      <c r="R8" s="102">
        <v>0</v>
      </c>
      <c r="S8" s="102">
        <v>0</v>
      </c>
      <c r="T8" s="102">
        <v>0</v>
      </c>
      <c r="U8" s="102">
        <v>0</v>
      </c>
      <c r="V8" s="102">
        <v>0</v>
      </c>
      <c r="W8" s="102">
        <v>0</v>
      </c>
    </row>
    <row r="9" spans="1:23" ht="39.950000000000003" customHeight="1" x14ac:dyDescent="0.2">
      <c r="A9" s="97"/>
      <c r="B9" s="27" t="s">
        <v>87</v>
      </c>
      <c r="C9" s="98" t="s">
        <v>88</v>
      </c>
      <c r="D9" s="129">
        <v>43574</v>
      </c>
      <c r="E9" s="129">
        <v>43578</v>
      </c>
      <c r="F9" s="128">
        <v>190707</v>
      </c>
      <c r="G9" s="23" t="s">
        <v>75</v>
      </c>
      <c r="H9" s="25" t="s">
        <v>73</v>
      </c>
      <c r="I9" s="102">
        <v>12</v>
      </c>
      <c r="J9" s="102">
        <v>12</v>
      </c>
      <c r="K9" s="102">
        <v>12</v>
      </c>
      <c r="L9" s="102">
        <v>12</v>
      </c>
      <c r="M9" s="102">
        <v>7</v>
      </c>
      <c r="N9" s="102">
        <v>5</v>
      </c>
      <c r="O9" s="102">
        <v>0</v>
      </c>
      <c r="P9" s="102">
        <v>0</v>
      </c>
      <c r="Q9" s="102">
        <v>0</v>
      </c>
      <c r="R9" s="102">
        <v>0</v>
      </c>
      <c r="S9" s="102">
        <v>0</v>
      </c>
      <c r="T9" s="102">
        <v>0</v>
      </c>
      <c r="U9" s="102">
        <v>0</v>
      </c>
      <c r="V9" s="102">
        <v>0</v>
      </c>
      <c r="W9" s="102">
        <v>0</v>
      </c>
    </row>
    <row r="10" spans="1:23" ht="39.950000000000003" customHeight="1" x14ac:dyDescent="0.2">
      <c r="A10" s="97"/>
      <c r="B10" s="114" t="s">
        <v>89</v>
      </c>
      <c r="C10" s="115" t="s">
        <v>90</v>
      </c>
      <c r="D10" s="129">
        <v>43571</v>
      </c>
      <c r="E10" s="129">
        <v>43579</v>
      </c>
      <c r="F10" s="128">
        <v>190707</v>
      </c>
      <c r="G10" s="23" t="s">
        <v>91</v>
      </c>
      <c r="H10" s="25" t="s">
        <v>73</v>
      </c>
      <c r="I10" s="102">
        <v>8</v>
      </c>
      <c r="J10" s="102">
        <v>8</v>
      </c>
      <c r="K10" s="102">
        <v>6</v>
      </c>
      <c r="L10" s="102">
        <v>6</v>
      </c>
      <c r="M10" s="102">
        <v>6</v>
      </c>
      <c r="N10" s="102">
        <v>6</v>
      </c>
      <c r="O10" s="102">
        <v>4</v>
      </c>
      <c r="P10" s="102">
        <v>0</v>
      </c>
      <c r="Q10" s="102">
        <v>0</v>
      </c>
      <c r="R10" s="102">
        <v>0</v>
      </c>
      <c r="S10" s="102">
        <v>0</v>
      </c>
      <c r="T10" s="102">
        <v>0</v>
      </c>
      <c r="U10" s="102">
        <v>0</v>
      </c>
      <c r="V10" s="102">
        <v>0</v>
      </c>
      <c r="W10" s="102">
        <v>0</v>
      </c>
    </row>
    <row r="11" spans="1:23" ht="39.950000000000003" customHeight="1" x14ac:dyDescent="0.2">
      <c r="A11" s="97"/>
      <c r="B11" s="114" t="s">
        <v>92</v>
      </c>
      <c r="C11" s="115" t="s">
        <v>93</v>
      </c>
      <c r="D11" s="129">
        <v>43584</v>
      </c>
      <c r="E11" s="129">
        <v>43587</v>
      </c>
      <c r="F11" s="128">
        <v>190707</v>
      </c>
      <c r="G11" s="23" t="s">
        <v>94</v>
      </c>
      <c r="H11" s="25" t="s">
        <v>73</v>
      </c>
      <c r="I11" s="102">
        <v>6</v>
      </c>
      <c r="J11" s="102">
        <v>6</v>
      </c>
      <c r="K11" s="102">
        <v>6</v>
      </c>
      <c r="L11" s="102">
        <v>6</v>
      </c>
      <c r="M11" s="102">
        <v>6</v>
      </c>
      <c r="N11" s="102">
        <v>6</v>
      </c>
      <c r="O11" s="102">
        <v>6</v>
      </c>
      <c r="P11" s="102">
        <v>6</v>
      </c>
      <c r="Q11" s="102">
        <v>6</v>
      </c>
      <c r="R11" s="102">
        <v>6</v>
      </c>
      <c r="S11" s="102">
        <v>4</v>
      </c>
      <c r="T11" s="102">
        <v>2</v>
      </c>
      <c r="U11" s="102">
        <v>0</v>
      </c>
      <c r="V11" s="102">
        <v>0</v>
      </c>
      <c r="W11" s="102">
        <v>0</v>
      </c>
    </row>
    <row r="12" spans="1:23" ht="39.950000000000003" customHeight="1" x14ac:dyDescent="0.2">
      <c r="A12" s="97"/>
      <c r="B12" s="114" t="s">
        <v>95</v>
      </c>
      <c r="C12" s="115" t="s">
        <v>96</v>
      </c>
      <c r="D12" s="129">
        <v>43580</v>
      </c>
      <c r="E12" s="129">
        <v>43581</v>
      </c>
      <c r="F12" s="128">
        <v>190707</v>
      </c>
      <c r="G12" s="23" t="s">
        <v>75</v>
      </c>
      <c r="H12" s="25" t="s">
        <v>73</v>
      </c>
      <c r="I12" s="102">
        <v>6</v>
      </c>
      <c r="J12" s="102">
        <v>6</v>
      </c>
      <c r="K12" s="102">
        <v>6</v>
      </c>
      <c r="L12" s="102">
        <v>6</v>
      </c>
      <c r="M12" s="102">
        <v>6</v>
      </c>
      <c r="N12" s="102">
        <v>6</v>
      </c>
      <c r="O12" s="102">
        <v>6</v>
      </c>
      <c r="P12" s="102">
        <v>6</v>
      </c>
      <c r="Q12" s="102">
        <v>3</v>
      </c>
      <c r="R12" s="102">
        <v>0</v>
      </c>
      <c r="S12" s="102">
        <v>0</v>
      </c>
      <c r="T12" s="102">
        <v>0</v>
      </c>
      <c r="U12" s="102">
        <v>0</v>
      </c>
      <c r="V12" s="102">
        <v>0</v>
      </c>
      <c r="W12" s="102">
        <v>0</v>
      </c>
    </row>
    <row r="13" spans="1:23" ht="39.950000000000003" customHeight="1" x14ac:dyDescent="0.2">
      <c r="A13" s="116" t="s">
        <v>97</v>
      </c>
      <c r="B13" s="114" t="s">
        <v>82</v>
      </c>
      <c r="C13" s="111" t="s">
        <v>128</v>
      </c>
      <c r="D13" s="129">
        <v>43570</v>
      </c>
      <c r="E13" s="129">
        <v>43570</v>
      </c>
      <c r="F13" s="128">
        <v>705835</v>
      </c>
      <c r="G13" s="23" t="s">
        <v>74</v>
      </c>
      <c r="H13" s="25" t="s">
        <v>73</v>
      </c>
      <c r="I13" s="102">
        <v>10</v>
      </c>
      <c r="J13" s="102">
        <v>0</v>
      </c>
      <c r="K13" s="102">
        <v>0</v>
      </c>
      <c r="L13" s="102">
        <v>0</v>
      </c>
      <c r="M13" s="102">
        <v>0</v>
      </c>
      <c r="N13" s="102">
        <v>0</v>
      </c>
      <c r="O13" s="102">
        <v>0</v>
      </c>
      <c r="P13" s="102">
        <v>0</v>
      </c>
      <c r="Q13" s="102">
        <v>0</v>
      </c>
      <c r="R13" s="102">
        <v>0</v>
      </c>
      <c r="S13" s="102">
        <v>0</v>
      </c>
      <c r="T13" s="102">
        <v>0</v>
      </c>
      <c r="U13" s="102">
        <v>0</v>
      </c>
      <c r="V13" s="102">
        <v>0</v>
      </c>
      <c r="W13" s="102">
        <v>0</v>
      </c>
    </row>
    <row r="14" spans="1:23" ht="39.950000000000003" customHeight="1" x14ac:dyDescent="0.2">
      <c r="A14" s="97"/>
      <c r="B14" s="114" t="s">
        <v>83</v>
      </c>
      <c r="C14" s="98" t="s">
        <v>144</v>
      </c>
      <c r="D14" s="129">
        <v>43571</v>
      </c>
      <c r="E14" s="130">
        <v>43572</v>
      </c>
      <c r="F14" s="128">
        <v>705835</v>
      </c>
      <c r="G14" s="23" t="s">
        <v>75</v>
      </c>
      <c r="H14" s="25" t="s">
        <v>73</v>
      </c>
      <c r="I14" s="102">
        <v>10</v>
      </c>
      <c r="J14" s="102">
        <v>10</v>
      </c>
      <c r="K14" s="102">
        <v>5</v>
      </c>
      <c r="L14" s="102">
        <v>0</v>
      </c>
      <c r="M14" s="102">
        <v>0</v>
      </c>
      <c r="N14" s="102">
        <v>0</v>
      </c>
      <c r="O14" s="102">
        <v>0</v>
      </c>
      <c r="P14" s="102">
        <v>0</v>
      </c>
      <c r="Q14" s="102">
        <v>0</v>
      </c>
      <c r="R14" s="102">
        <v>0</v>
      </c>
      <c r="S14" s="102">
        <v>0</v>
      </c>
      <c r="T14" s="102">
        <v>0</v>
      </c>
      <c r="U14" s="102">
        <v>0</v>
      </c>
      <c r="V14" s="102">
        <v>0</v>
      </c>
      <c r="W14" s="102">
        <v>0</v>
      </c>
    </row>
    <row r="15" spans="1:23" ht="39.950000000000003" customHeight="1" x14ac:dyDescent="0.2">
      <c r="A15" s="97"/>
      <c r="B15" s="114" t="s">
        <v>84</v>
      </c>
      <c r="C15" s="98" t="s">
        <v>142</v>
      </c>
      <c r="D15" s="129">
        <v>43572</v>
      </c>
      <c r="E15" s="129">
        <v>43574</v>
      </c>
      <c r="F15" s="128">
        <v>705835</v>
      </c>
      <c r="G15" s="23" t="s">
        <v>74</v>
      </c>
      <c r="H15" s="25" t="s">
        <v>73</v>
      </c>
      <c r="I15" s="103">
        <v>12</v>
      </c>
      <c r="J15" s="103">
        <v>12</v>
      </c>
      <c r="K15" s="103">
        <v>12</v>
      </c>
      <c r="L15" s="104">
        <v>5</v>
      </c>
      <c r="M15" s="102">
        <v>0</v>
      </c>
      <c r="N15" s="102">
        <v>0</v>
      </c>
      <c r="O15" s="102">
        <v>0</v>
      </c>
      <c r="P15" s="102">
        <v>0</v>
      </c>
      <c r="Q15" s="102">
        <v>0</v>
      </c>
      <c r="R15" s="102">
        <v>0</v>
      </c>
      <c r="S15" s="102">
        <v>0</v>
      </c>
      <c r="T15" s="102">
        <v>0</v>
      </c>
      <c r="U15" s="102">
        <v>0</v>
      </c>
      <c r="V15" s="102">
        <v>0</v>
      </c>
      <c r="W15" s="102">
        <v>0</v>
      </c>
    </row>
    <row r="16" spans="1:23" ht="39.950000000000003" customHeight="1" x14ac:dyDescent="0.2">
      <c r="A16" s="97"/>
      <c r="B16" s="114" t="s">
        <v>85</v>
      </c>
      <c r="C16" s="98" t="s">
        <v>86</v>
      </c>
      <c r="D16" s="129">
        <v>43574</v>
      </c>
      <c r="E16" s="129">
        <v>43579</v>
      </c>
      <c r="F16" s="128">
        <v>705835</v>
      </c>
      <c r="G16" s="23" t="s">
        <v>75</v>
      </c>
      <c r="H16" s="25" t="s">
        <v>73</v>
      </c>
      <c r="I16" s="103">
        <v>12</v>
      </c>
      <c r="J16" s="103">
        <v>12</v>
      </c>
      <c r="K16" s="103">
        <v>12</v>
      </c>
      <c r="L16" s="103">
        <v>12</v>
      </c>
      <c r="M16" s="102">
        <v>9</v>
      </c>
      <c r="N16" s="102">
        <v>7</v>
      </c>
      <c r="O16" s="102">
        <v>4</v>
      </c>
      <c r="P16" s="102">
        <v>0</v>
      </c>
      <c r="Q16" s="102">
        <v>0</v>
      </c>
      <c r="R16" s="102">
        <v>0</v>
      </c>
      <c r="S16" s="102">
        <v>0</v>
      </c>
      <c r="T16" s="102">
        <v>0</v>
      </c>
      <c r="U16" s="102">
        <v>0</v>
      </c>
      <c r="V16" s="102">
        <v>0</v>
      </c>
      <c r="W16" s="102">
        <v>0</v>
      </c>
    </row>
    <row r="17" spans="1:23" ht="39.950000000000003" customHeight="1" x14ac:dyDescent="0.2">
      <c r="A17" s="97"/>
      <c r="B17" s="114" t="s">
        <v>87</v>
      </c>
      <c r="C17" s="98" t="s">
        <v>88</v>
      </c>
      <c r="D17" s="129">
        <v>43578</v>
      </c>
      <c r="E17" s="129">
        <v>43581</v>
      </c>
      <c r="F17" s="128">
        <v>705835</v>
      </c>
      <c r="G17" s="23" t="s">
        <v>75</v>
      </c>
      <c r="H17" s="25" t="s">
        <v>73</v>
      </c>
      <c r="I17" s="103">
        <v>12</v>
      </c>
      <c r="J17" s="103">
        <v>12</v>
      </c>
      <c r="K17" s="103">
        <v>12</v>
      </c>
      <c r="L17" s="103">
        <v>12</v>
      </c>
      <c r="M17" s="103">
        <v>12</v>
      </c>
      <c r="N17" s="103">
        <v>12</v>
      </c>
      <c r="O17" s="131">
        <v>8</v>
      </c>
      <c r="P17" s="104">
        <v>5</v>
      </c>
      <c r="Q17" s="102">
        <v>3</v>
      </c>
      <c r="R17" s="102">
        <v>0</v>
      </c>
      <c r="S17" s="102">
        <v>0</v>
      </c>
      <c r="T17" s="102">
        <v>0</v>
      </c>
      <c r="U17" s="102">
        <v>0</v>
      </c>
      <c r="V17" s="102">
        <v>0</v>
      </c>
      <c r="W17" s="102">
        <v>0</v>
      </c>
    </row>
    <row r="18" spans="1:23" ht="39.950000000000003" customHeight="1" x14ac:dyDescent="0.2">
      <c r="A18" s="97"/>
      <c r="B18" s="114" t="s">
        <v>89</v>
      </c>
      <c r="C18" s="115" t="s">
        <v>90</v>
      </c>
      <c r="D18" s="130">
        <v>43580</v>
      </c>
      <c r="E18" s="130">
        <v>43581</v>
      </c>
      <c r="F18" s="128">
        <v>705</v>
      </c>
      <c r="G18" s="23" t="s">
        <v>91</v>
      </c>
      <c r="H18" s="25" t="s">
        <v>73</v>
      </c>
      <c r="I18" s="102">
        <v>8</v>
      </c>
      <c r="J18" s="102">
        <v>8</v>
      </c>
      <c r="K18" s="102">
        <v>8</v>
      </c>
      <c r="L18" s="102">
        <v>8</v>
      </c>
      <c r="M18" s="102">
        <v>8</v>
      </c>
      <c r="N18" s="102">
        <v>8</v>
      </c>
      <c r="O18" s="102">
        <v>8</v>
      </c>
      <c r="P18" s="102">
        <v>8</v>
      </c>
      <c r="Q18" s="102">
        <v>3</v>
      </c>
      <c r="R18" s="102">
        <v>0</v>
      </c>
      <c r="S18" s="102">
        <v>0</v>
      </c>
      <c r="T18" s="102">
        <v>0</v>
      </c>
      <c r="U18" s="102">
        <v>0</v>
      </c>
      <c r="V18" s="102">
        <v>0</v>
      </c>
      <c r="W18" s="102">
        <v>0</v>
      </c>
    </row>
    <row r="19" spans="1:23" ht="39.950000000000003" customHeight="1" x14ac:dyDescent="0.2">
      <c r="A19" s="97"/>
      <c r="B19" s="114" t="s">
        <v>92</v>
      </c>
      <c r="C19" s="115" t="s">
        <v>93</v>
      </c>
      <c r="D19" s="130">
        <v>43580</v>
      </c>
      <c r="E19" s="130">
        <v>43584</v>
      </c>
      <c r="F19" s="128">
        <v>835</v>
      </c>
      <c r="G19" s="23" t="s">
        <v>94</v>
      </c>
      <c r="H19" s="25" t="s">
        <v>73</v>
      </c>
      <c r="I19" s="102">
        <v>6</v>
      </c>
      <c r="J19" s="102">
        <v>6</v>
      </c>
      <c r="K19" s="102">
        <v>6</v>
      </c>
      <c r="L19" s="102">
        <v>6</v>
      </c>
      <c r="M19" s="102">
        <v>6</v>
      </c>
      <c r="N19" s="102">
        <v>6</v>
      </c>
      <c r="O19" s="102">
        <v>6</v>
      </c>
      <c r="P19" s="102">
        <v>6</v>
      </c>
      <c r="Q19" s="102">
        <v>3</v>
      </c>
      <c r="R19" s="102">
        <v>3</v>
      </c>
      <c r="S19" s="102">
        <v>0</v>
      </c>
      <c r="T19" s="102">
        <v>0</v>
      </c>
      <c r="U19" s="102">
        <v>0</v>
      </c>
      <c r="V19" s="102">
        <v>0</v>
      </c>
      <c r="W19" s="102">
        <v>0</v>
      </c>
    </row>
    <row r="20" spans="1:23" ht="39.950000000000003" customHeight="1" x14ac:dyDescent="0.2">
      <c r="A20" s="97"/>
      <c r="B20" s="114" t="s">
        <v>95</v>
      </c>
      <c r="C20" s="115" t="s">
        <v>96</v>
      </c>
      <c r="D20" s="130">
        <v>43581</v>
      </c>
      <c r="E20" s="130">
        <v>43584</v>
      </c>
      <c r="F20" s="128">
        <v>705835</v>
      </c>
      <c r="G20" s="23" t="s">
        <v>75</v>
      </c>
      <c r="H20" s="25" t="s">
        <v>73</v>
      </c>
      <c r="I20" s="102">
        <v>8</v>
      </c>
      <c r="J20" s="102">
        <v>8</v>
      </c>
      <c r="K20" s="102">
        <v>8</v>
      </c>
      <c r="L20" s="102">
        <v>8</v>
      </c>
      <c r="M20" s="102">
        <v>8</v>
      </c>
      <c r="N20" s="102">
        <v>8</v>
      </c>
      <c r="O20" s="102">
        <v>8</v>
      </c>
      <c r="P20" s="102">
        <v>8</v>
      </c>
      <c r="Q20" s="102">
        <v>8</v>
      </c>
      <c r="R20" s="102">
        <v>4</v>
      </c>
      <c r="S20" s="102">
        <v>0</v>
      </c>
      <c r="T20" s="102">
        <v>0</v>
      </c>
      <c r="U20" s="102">
        <v>0</v>
      </c>
      <c r="V20" s="102">
        <v>0</v>
      </c>
      <c r="W20" s="102">
        <v>0</v>
      </c>
    </row>
    <row r="21" spans="1:23" ht="39.950000000000003" customHeight="1" x14ac:dyDescent="0.2">
      <c r="A21" s="112" t="s">
        <v>98</v>
      </c>
      <c r="B21" s="114" t="s">
        <v>82</v>
      </c>
      <c r="C21" s="111" t="s">
        <v>130</v>
      </c>
      <c r="D21" s="130">
        <v>43584</v>
      </c>
      <c r="E21" s="130">
        <v>43584</v>
      </c>
      <c r="F21" s="128">
        <v>707190</v>
      </c>
      <c r="G21" s="23" t="s">
        <v>74</v>
      </c>
      <c r="H21" s="25" t="s">
        <v>73</v>
      </c>
      <c r="I21" s="103">
        <v>12</v>
      </c>
      <c r="J21" s="103">
        <v>12</v>
      </c>
      <c r="K21" s="103">
        <v>12</v>
      </c>
      <c r="L21" s="103">
        <v>12</v>
      </c>
      <c r="M21" s="103">
        <v>12</v>
      </c>
      <c r="N21" s="103">
        <v>12</v>
      </c>
      <c r="O21" s="103">
        <v>12</v>
      </c>
      <c r="P21" s="103">
        <v>12</v>
      </c>
      <c r="Q21" s="103">
        <v>12</v>
      </c>
      <c r="R21" s="103">
        <v>12</v>
      </c>
      <c r="S21" s="102">
        <v>0</v>
      </c>
      <c r="T21" s="102">
        <v>0</v>
      </c>
      <c r="U21" s="102">
        <v>0</v>
      </c>
      <c r="V21" s="102">
        <v>0</v>
      </c>
      <c r="W21" s="102">
        <v>0</v>
      </c>
    </row>
    <row r="22" spans="1:23" ht="39.950000000000003" customHeight="1" x14ac:dyDescent="0.2">
      <c r="A22" s="97"/>
      <c r="B22" s="114" t="s">
        <v>83</v>
      </c>
      <c r="C22" s="98" t="s">
        <v>142</v>
      </c>
      <c r="D22" s="130">
        <v>43585</v>
      </c>
      <c r="E22" s="130">
        <v>43585</v>
      </c>
      <c r="F22" s="128">
        <v>705835</v>
      </c>
      <c r="G22" s="23" t="s">
        <v>74</v>
      </c>
      <c r="H22" s="25" t="s">
        <v>73</v>
      </c>
      <c r="I22" s="103">
        <v>12</v>
      </c>
      <c r="J22" s="103">
        <v>12</v>
      </c>
      <c r="K22" s="103">
        <v>12</v>
      </c>
      <c r="L22" s="103">
        <v>12</v>
      </c>
      <c r="M22" s="103">
        <v>12</v>
      </c>
      <c r="N22" s="103">
        <v>12</v>
      </c>
      <c r="O22" s="103">
        <v>12</v>
      </c>
      <c r="P22" s="103">
        <v>12</v>
      </c>
      <c r="Q22" s="103">
        <v>12</v>
      </c>
      <c r="R22" s="103">
        <v>12</v>
      </c>
      <c r="S22" s="103">
        <v>12</v>
      </c>
      <c r="T22" s="102">
        <v>0</v>
      </c>
      <c r="U22" s="102">
        <v>0</v>
      </c>
      <c r="V22" s="102">
        <v>0</v>
      </c>
      <c r="W22" s="102">
        <v>0</v>
      </c>
    </row>
    <row r="23" spans="1:23" ht="39.950000000000003" customHeight="1" x14ac:dyDescent="0.2">
      <c r="A23" s="97"/>
      <c r="B23" s="114" t="s">
        <v>84</v>
      </c>
      <c r="C23" s="98" t="s">
        <v>86</v>
      </c>
      <c r="D23" s="130">
        <v>43585</v>
      </c>
      <c r="E23" s="130">
        <v>43587</v>
      </c>
      <c r="F23" s="128">
        <v>707190</v>
      </c>
      <c r="G23" s="23" t="s">
        <v>75</v>
      </c>
      <c r="H23" s="25" t="s">
        <v>73</v>
      </c>
      <c r="I23" s="102">
        <v>10</v>
      </c>
      <c r="J23" s="102">
        <v>10</v>
      </c>
      <c r="K23" s="102">
        <v>10</v>
      </c>
      <c r="L23" s="102">
        <v>10</v>
      </c>
      <c r="M23" s="102">
        <v>10</v>
      </c>
      <c r="N23" s="102">
        <v>10</v>
      </c>
      <c r="O23" s="102">
        <v>10</v>
      </c>
      <c r="P23" s="102">
        <v>10</v>
      </c>
      <c r="Q23" s="102">
        <v>10</v>
      </c>
      <c r="R23" s="102">
        <v>10</v>
      </c>
      <c r="S23" s="102">
        <v>10</v>
      </c>
      <c r="T23" s="132">
        <v>3</v>
      </c>
      <c r="U23" s="102">
        <v>0</v>
      </c>
      <c r="V23" s="132">
        <v>0</v>
      </c>
      <c r="W23" s="102">
        <v>0</v>
      </c>
    </row>
    <row r="24" spans="1:23" ht="39.950000000000003" customHeight="1" x14ac:dyDescent="0.2">
      <c r="A24" s="97"/>
      <c r="B24" s="114" t="s">
        <v>85</v>
      </c>
      <c r="C24" s="98" t="s">
        <v>88</v>
      </c>
      <c r="D24" s="130">
        <v>43587</v>
      </c>
      <c r="E24" s="130">
        <v>43588</v>
      </c>
      <c r="F24" s="128">
        <v>707190</v>
      </c>
      <c r="G24" s="23" t="s">
        <v>75</v>
      </c>
      <c r="H24" s="25" t="s">
        <v>73</v>
      </c>
      <c r="I24" s="103">
        <v>12</v>
      </c>
      <c r="J24" s="103">
        <v>12</v>
      </c>
      <c r="K24" s="103">
        <v>12</v>
      </c>
      <c r="L24" s="103">
        <v>12</v>
      </c>
      <c r="M24" s="103">
        <v>12</v>
      </c>
      <c r="N24" s="103">
        <v>12</v>
      </c>
      <c r="O24" s="103">
        <v>12</v>
      </c>
      <c r="P24" s="103">
        <v>12</v>
      </c>
      <c r="Q24" s="103">
        <v>12</v>
      </c>
      <c r="R24" s="103">
        <v>12</v>
      </c>
      <c r="S24" s="103">
        <v>12</v>
      </c>
      <c r="T24" s="103">
        <v>12</v>
      </c>
      <c r="U24" s="103">
        <v>5</v>
      </c>
      <c r="V24" s="103">
        <v>0</v>
      </c>
      <c r="W24" s="102">
        <v>0</v>
      </c>
    </row>
    <row r="25" spans="1:23" ht="39.950000000000003" customHeight="1" x14ac:dyDescent="0.2">
      <c r="A25" s="97"/>
      <c r="B25" s="114" t="s">
        <v>87</v>
      </c>
      <c r="C25" s="115" t="s">
        <v>90</v>
      </c>
      <c r="D25" s="130">
        <v>43588</v>
      </c>
      <c r="E25" s="130">
        <v>43588</v>
      </c>
      <c r="F25" s="128">
        <v>705</v>
      </c>
      <c r="G25" s="23" t="s">
        <v>91</v>
      </c>
      <c r="H25" s="25" t="s">
        <v>73</v>
      </c>
      <c r="I25" s="102">
        <v>6</v>
      </c>
      <c r="J25" s="102">
        <v>6</v>
      </c>
      <c r="K25" s="102">
        <v>6</v>
      </c>
      <c r="L25" s="102">
        <v>6</v>
      </c>
      <c r="M25" s="102">
        <v>6</v>
      </c>
      <c r="N25" s="102">
        <v>6</v>
      </c>
      <c r="O25" s="102">
        <v>6</v>
      </c>
      <c r="P25" s="102">
        <v>6</v>
      </c>
      <c r="Q25" s="102">
        <v>6</v>
      </c>
      <c r="R25" s="102">
        <v>6</v>
      </c>
      <c r="S25" s="102">
        <v>6</v>
      </c>
      <c r="T25" s="102">
        <v>6</v>
      </c>
      <c r="U25" s="102">
        <v>6</v>
      </c>
      <c r="V25" s="102">
        <v>0</v>
      </c>
      <c r="W25" s="102">
        <v>0</v>
      </c>
    </row>
    <row r="26" spans="1:23" ht="39.950000000000003" customHeight="1" x14ac:dyDescent="0.2">
      <c r="A26" s="97"/>
      <c r="B26" s="114" t="s">
        <v>89</v>
      </c>
      <c r="C26" s="115" t="s">
        <v>93</v>
      </c>
      <c r="D26" s="130">
        <v>43588</v>
      </c>
      <c r="E26" s="130">
        <v>43588</v>
      </c>
      <c r="F26" s="133">
        <v>835</v>
      </c>
      <c r="G26" s="23" t="s">
        <v>94</v>
      </c>
      <c r="H26" s="25" t="s">
        <v>73</v>
      </c>
      <c r="I26" s="102">
        <v>6</v>
      </c>
      <c r="J26" s="102">
        <v>6</v>
      </c>
      <c r="K26" s="102">
        <v>6</v>
      </c>
      <c r="L26" s="102">
        <v>6</v>
      </c>
      <c r="M26" s="102">
        <v>6</v>
      </c>
      <c r="N26" s="102">
        <v>6</v>
      </c>
      <c r="O26" s="102">
        <v>6</v>
      </c>
      <c r="P26" s="102">
        <v>6</v>
      </c>
      <c r="Q26" s="102">
        <v>6</v>
      </c>
      <c r="R26" s="102">
        <v>6</v>
      </c>
      <c r="S26" s="102">
        <v>6</v>
      </c>
      <c r="T26" s="102">
        <v>6</v>
      </c>
      <c r="U26" s="102">
        <v>6</v>
      </c>
      <c r="V26" s="102">
        <v>0</v>
      </c>
      <c r="W26" s="102">
        <v>0</v>
      </c>
    </row>
    <row r="27" spans="1:23" ht="39.950000000000003" customHeight="1" x14ac:dyDescent="0.2">
      <c r="A27" s="97"/>
      <c r="B27" s="114" t="s">
        <v>92</v>
      </c>
      <c r="C27" s="115" t="s">
        <v>96</v>
      </c>
      <c r="D27" s="130">
        <v>43591</v>
      </c>
      <c r="E27" s="130">
        <v>43591</v>
      </c>
      <c r="F27" s="133">
        <v>190</v>
      </c>
      <c r="G27" s="23" t="s">
        <v>75</v>
      </c>
      <c r="H27" s="25" t="s">
        <v>73</v>
      </c>
      <c r="I27" s="102">
        <v>6</v>
      </c>
      <c r="J27" s="102">
        <v>6</v>
      </c>
      <c r="K27" s="102">
        <v>6</v>
      </c>
      <c r="L27" s="102">
        <v>6</v>
      </c>
      <c r="M27" s="102">
        <v>6</v>
      </c>
      <c r="N27" s="102">
        <v>6</v>
      </c>
      <c r="O27" s="102">
        <v>6</v>
      </c>
      <c r="P27" s="102">
        <v>6</v>
      </c>
      <c r="Q27" s="102">
        <v>6</v>
      </c>
      <c r="R27" s="102">
        <v>6</v>
      </c>
      <c r="S27" s="102">
        <v>6</v>
      </c>
      <c r="T27" s="102">
        <v>6</v>
      </c>
      <c r="U27" s="102">
        <v>6</v>
      </c>
      <c r="V27" s="102">
        <v>6</v>
      </c>
      <c r="W27" s="102">
        <v>0</v>
      </c>
    </row>
    <row r="28" spans="1:23" ht="39.950000000000003" customHeight="1" x14ac:dyDescent="0.2">
      <c r="A28" s="112" t="s">
        <v>99</v>
      </c>
      <c r="B28" s="114" t="s">
        <v>82</v>
      </c>
      <c r="C28" s="117" t="s">
        <v>100</v>
      </c>
      <c r="D28" s="130">
        <v>43570</v>
      </c>
      <c r="E28" s="130">
        <v>43570</v>
      </c>
      <c r="F28" s="134">
        <v>834626</v>
      </c>
      <c r="G28" s="23" t="s">
        <v>94</v>
      </c>
      <c r="H28" s="25" t="s">
        <v>73</v>
      </c>
      <c r="I28" s="105">
        <v>12</v>
      </c>
      <c r="J28" s="105">
        <v>0</v>
      </c>
      <c r="K28" s="105">
        <v>0</v>
      </c>
      <c r="L28" s="105">
        <v>0</v>
      </c>
      <c r="M28" s="105">
        <v>0</v>
      </c>
      <c r="N28" s="105">
        <v>0</v>
      </c>
      <c r="O28" s="105">
        <v>0</v>
      </c>
      <c r="P28" s="105">
        <v>0</v>
      </c>
      <c r="Q28" s="105">
        <v>0</v>
      </c>
      <c r="R28" s="105">
        <v>0</v>
      </c>
      <c r="S28" s="105">
        <v>0</v>
      </c>
      <c r="T28" s="105">
        <v>0</v>
      </c>
      <c r="U28" s="105">
        <v>0</v>
      </c>
      <c r="V28" s="105">
        <v>0</v>
      </c>
      <c r="W28" s="102">
        <v>0</v>
      </c>
    </row>
    <row r="29" spans="1:23" ht="39.950000000000003" customHeight="1" x14ac:dyDescent="0.2">
      <c r="A29" s="97"/>
      <c r="B29" s="114" t="s">
        <v>83</v>
      </c>
      <c r="C29" s="117" t="s">
        <v>101</v>
      </c>
      <c r="D29" s="130">
        <v>43571</v>
      </c>
      <c r="E29" s="130">
        <v>43574</v>
      </c>
      <c r="F29" s="128">
        <v>708626</v>
      </c>
      <c r="G29" s="23" t="s">
        <v>75</v>
      </c>
      <c r="H29" s="25" t="s">
        <v>73</v>
      </c>
      <c r="I29" s="102">
        <v>10</v>
      </c>
      <c r="J29" s="102">
        <v>10</v>
      </c>
      <c r="K29" s="102">
        <v>5</v>
      </c>
      <c r="L29" s="102">
        <v>2</v>
      </c>
      <c r="M29" s="102">
        <v>0</v>
      </c>
      <c r="N29" s="102">
        <v>0</v>
      </c>
      <c r="O29" s="102">
        <v>0</v>
      </c>
      <c r="P29" s="102">
        <v>0</v>
      </c>
      <c r="Q29" s="102">
        <v>0</v>
      </c>
      <c r="R29" s="102">
        <v>0</v>
      </c>
      <c r="S29" s="102">
        <v>0</v>
      </c>
      <c r="T29" s="102">
        <v>0</v>
      </c>
      <c r="U29" s="102">
        <v>0</v>
      </c>
      <c r="V29" s="102">
        <v>0</v>
      </c>
      <c r="W29" s="102">
        <v>0</v>
      </c>
    </row>
    <row r="30" spans="1:23" ht="42" customHeight="1" x14ac:dyDescent="0.2">
      <c r="A30" s="97"/>
      <c r="B30" s="114" t="s">
        <v>84</v>
      </c>
      <c r="C30" s="117" t="s">
        <v>102</v>
      </c>
      <c r="D30" s="130">
        <v>43572</v>
      </c>
      <c r="E30" s="130">
        <v>43574</v>
      </c>
      <c r="F30" s="128">
        <v>708626</v>
      </c>
      <c r="G30" s="23" t="s">
        <v>75</v>
      </c>
      <c r="H30" s="25" t="s">
        <v>73</v>
      </c>
      <c r="I30" s="103">
        <v>12</v>
      </c>
      <c r="J30" s="103">
        <v>12</v>
      </c>
      <c r="K30" s="103">
        <v>12</v>
      </c>
      <c r="L30" s="103">
        <v>2</v>
      </c>
      <c r="M30" s="103">
        <v>0</v>
      </c>
      <c r="N30" s="102">
        <v>0</v>
      </c>
      <c r="O30" s="102">
        <v>0</v>
      </c>
      <c r="P30" s="102">
        <v>0</v>
      </c>
      <c r="Q30" s="102">
        <v>0</v>
      </c>
      <c r="R30" s="102">
        <v>0</v>
      </c>
      <c r="S30" s="102">
        <v>0</v>
      </c>
      <c r="T30" s="102">
        <v>0</v>
      </c>
      <c r="U30" s="102">
        <v>0</v>
      </c>
      <c r="V30" s="102">
        <v>0</v>
      </c>
      <c r="W30" s="102">
        <v>0</v>
      </c>
    </row>
    <row r="31" spans="1:23" ht="39.950000000000003" customHeight="1" x14ac:dyDescent="0.2">
      <c r="A31" s="97"/>
      <c r="B31" s="114" t="s">
        <v>85</v>
      </c>
      <c r="C31" s="117" t="s">
        <v>145</v>
      </c>
      <c r="D31" s="130">
        <v>43577</v>
      </c>
      <c r="E31" s="130">
        <v>43578</v>
      </c>
      <c r="F31" s="128">
        <v>708626</v>
      </c>
      <c r="G31" s="23" t="s">
        <v>75</v>
      </c>
      <c r="H31" s="25" t="s">
        <v>73</v>
      </c>
      <c r="I31" s="103">
        <v>12</v>
      </c>
      <c r="J31" s="103">
        <v>12</v>
      </c>
      <c r="K31" s="103">
        <v>12</v>
      </c>
      <c r="L31" s="103">
        <v>12</v>
      </c>
      <c r="M31" s="103">
        <v>12</v>
      </c>
      <c r="N31" s="103">
        <v>7</v>
      </c>
      <c r="O31" s="103">
        <v>0</v>
      </c>
      <c r="P31" s="103">
        <v>0</v>
      </c>
      <c r="Q31" s="103">
        <v>0</v>
      </c>
      <c r="R31" s="103">
        <v>0</v>
      </c>
      <c r="S31" s="103">
        <v>0</v>
      </c>
      <c r="T31" s="103">
        <v>0</v>
      </c>
      <c r="U31" s="103">
        <v>0</v>
      </c>
      <c r="V31" s="103">
        <v>0</v>
      </c>
      <c r="W31" s="102">
        <v>0</v>
      </c>
    </row>
    <row r="32" spans="1:23" ht="39.950000000000003" customHeight="1" x14ac:dyDescent="0.2">
      <c r="A32" s="112" t="s">
        <v>103</v>
      </c>
      <c r="B32" s="114" t="s">
        <v>82</v>
      </c>
      <c r="C32" s="98" t="s">
        <v>149</v>
      </c>
      <c r="D32" s="130">
        <v>43578</v>
      </c>
      <c r="E32" s="130">
        <v>43580</v>
      </c>
      <c r="F32" s="134">
        <v>834626</v>
      </c>
      <c r="G32" s="23" t="s">
        <v>74</v>
      </c>
      <c r="H32" s="25" t="s">
        <v>73</v>
      </c>
      <c r="I32" s="102">
        <v>10</v>
      </c>
      <c r="J32" s="102">
        <v>10</v>
      </c>
      <c r="K32" s="102">
        <v>10</v>
      </c>
      <c r="L32" s="102">
        <v>10</v>
      </c>
      <c r="M32" s="102">
        <v>10</v>
      </c>
      <c r="N32" s="102">
        <v>10</v>
      </c>
      <c r="O32" s="102">
        <v>5</v>
      </c>
      <c r="P32" s="102">
        <v>3</v>
      </c>
      <c r="Q32" s="102">
        <v>0</v>
      </c>
      <c r="R32" s="102">
        <v>0</v>
      </c>
      <c r="S32" s="102">
        <v>0</v>
      </c>
      <c r="T32" s="102">
        <v>0</v>
      </c>
      <c r="U32" s="102">
        <v>0</v>
      </c>
      <c r="V32" s="102">
        <v>0</v>
      </c>
      <c r="W32" s="102">
        <v>0</v>
      </c>
    </row>
    <row r="33" spans="1:23" ht="39.950000000000003" customHeight="1" x14ac:dyDescent="0.2">
      <c r="A33" s="97"/>
      <c r="B33" s="114" t="s">
        <v>83</v>
      </c>
      <c r="C33" s="98" t="s">
        <v>146</v>
      </c>
      <c r="D33" s="130">
        <v>43579</v>
      </c>
      <c r="E33" s="130">
        <v>43581</v>
      </c>
      <c r="F33" s="128">
        <v>708626</v>
      </c>
      <c r="G33" s="23" t="s">
        <v>75</v>
      </c>
      <c r="H33" s="25" t="s">
        <v>73</v>
      </c>
      <c r="I33" s="102">
        <v>10</v>
      </c>
      <c r="J33" s="102">
        <v>10</v>
      </c>
      <c r="K33" s="102">
        <v>10</v>
      </c>
      <c r="L33" s="102">
        <v>10</v>
      </c>
      <c r="M33" s="102">
        <v>10</v>
      </c>
      <c r="N33" s="102">
        <v>10</v>
      </c>
      <c r="O33" s="102">
        <v>10</v>
      </c>
      <c r="P33" s="102">
        <v>5</v>
      </c>
      <c r="Q33" s="102">
        <v>5</v>
      </c>
      <c r="R33" s="102">
        <v>0</v>
      </c>
      <c r="S33" s="102">
        <v>0</v>
      </c>
      <c r="T33" s="102">
        <v>0</v>
      </c>
      <c r="U33" s="102">
        <v>0</v>
      </c>
      <c r="V33" s="102">
        <v>0</v>
      </c>
      <c r="W33" s="102">
        <v>0</v>
      </c>
    </row>
    <row r="34" spans="1:23" ht="39.950000000000003" customHeight="1" x14ac:dyDescent="0.2">
      <c r="A34" s="97"/>
      <c r="B34" s="114" t="s">
        <v>84</v>
      </c>
      <c r="C34" s="98" t="s">
        <v>148</v>
      </c>
      <c r="D34" s="130">
        <v>43579</v>
      </c>
      <c r="E34" s="130">
        <v>43580</v>
      </c>
      <c r="F34" s="128">
        <v>707190</v>
      </c>
      <c r="G34" s="23" t="s">
        <v>94</v>
      </c>
      <c r="H34" s="25" t="s">
        <v>73</v>
      </c>
      <c r="I34" s="103">
        <v>12</v>
      </c>
      <c r="J34" s="103">
        <v>12</v>
      </c>
      <c r="K34" s="103">
        <v>12</v>
      </c>
      <c r="L34" s="103">
        <v>12</v>
      </c>
      <c r="M34" s="103">
        <v>12</v>
      </c>
      <c r="N34" s="103">
        <v>12</v>
      </c>
      <c r="O34" s="103">
        <v>12</v>
      </c>
      <c r="P34" s="102">
        <v>4</v>
      </c>
      <c r="Q34" s="102">
        <v>0</v>
      </c>
      <c r="R34" s="102">
        <v>0</v>
      </c>
      <c r="S34" s="102">
        <v>0</v>
      </c>
      <c r="T34" s="102">
        <v>0</v>
      </c>
      <c r="U34" s="102">
        <v>0</v>
      </c>
      <c r="V34" s="102">
        <v>0</v>
      </c>
      <c r="W34" s="102">
        <v>0</v>
      </c>
    </row>
    <row r="35" spans="1:23" ht="39.950000000000003" customHeight="1" x14ac:dyDescent="0.2">
      <c r="A35" s="97"/>
      <c r="B35" s="114" t="s">
        <v>85</v>
      </c>
      <c r="C35" s="98" t="s">
        <v>147</v>
      </c>
      <c r="D35" s="130">
        <v>43579</v>
      </c>
      <c r="E35" s="130">
        <v>43579</v>
      </c>
      <c r="F35" s="134">
        <v>834626</v>
      </c>
      <c r="G35" s="23" t="s">
        <v>75</v>
      </c>
      <c r="H35" s="25" t="s">
        <v>73</v>
      </c>
      <c r="I35" s="103">
        <v>12</v>
      </c>
      <c r="J35" s="103">
        <v>12</v>
      </c>
      <c r="K35" s="103">
        <v>12</v>
      </c>
      <c r="L35" s="103">
        <v>12</v>
      </c>
      <c r="M35" s="103">
        <v>12</v>
      </c>
      <c r="N35" s="103">
        <v>12</v>
      </c>
      <c r="O35" s="103">
        <v>12</v>
      </c>
      <c r="P35" s="102">
        <v>0</v>
      </c>
      <c r="Q35" s="102">
        <v>0</v>
      </c>
      <c r="R35" s="102">
        <v>0</v>
      </c>
      <c r="S35" s="102">
        <v>0</v>
      </c>
      <c r="T35" s="102">
        <v>0</v>
      </c>
      <c r="U35" s="102">
        <v>0</v>
      </c>
      <c r="V35" s="102">
        <v>0</v>
      </c>
      <c r="W35" s="102">
        <v>0</v>
      </c>
    </row>
    <row r="36" spans="1:23" ht="39.950000000000003" customHeight="1" x14ac:dyDescent="0.2">
      <c r="A36" s="97"/>
      <c r="B36" s="114" t="s">
        <v>87</v>
      </c>
      <c r="C36" s="117" t="s">
        <v>104</v>
      </c>
      <c r="D36" s="130">
        <v>43580</v>
      </c>
      <c r="E36" s="130">
        <v>43580</v>
      </c>
      <c r="F36" s="128">
        <v>707626</v>
      </c>
      <c r="G36" s="23" t="s">
        <v>76</v>
      </c>
      <c r="H36" s="25" t="s">
        <v>73</v>
      </c>
      <c r="I36" s="103">
        <v>12</v>
      </c>
      <c r="J36" s="103">
        <v>12</v>
      </c>
      <c r="K36" s="103">
        <v>12</v>
      </c>
      <c r="L36" s="103">
        <v>12</v>
      </c>
      <c r="M36" s="103">
        <v>12</v>
      </c>
      <c r="N36" s="103">
        <v>12</v>
      </c>
      <c r="O36" s="103">
        <v>12</v>
      </c>
      <c r="P36" s="103">
        <v>12</v>
      </c>
      <c r="Q36" s="102">
        <v>0</v>
      </c>
      <c r="R36" s="102">
        <v>0</v>
      </c>
      <c r="S36" s="102">
        <v>0</v>
      </c>
      <c r="T36" s="102">
        <v>0</v>
      </c>
      <c r="U36" s="102">
        <v>0</v>
      </c>
      <c r="V36" s="102">
        <v>0</v>
      </c>
      <c r="W36" s="102">
        <v>0</v>
      </c>
    </row>
    <row r="37" spans="1:23" ht="39.950000000000003" customHeight="1" x14ac:dyDescent="0.2">
      <c r="A37" s="112" t="s">
        <v>105</v>
      </c>
      <c r="B37" s="114" t="s">
        <v>82</v>
      </c>
      <c r="C37" s="98" t="s">
        <v>150</v>
      </c>
      <c r="D37" s="130">
        <v>43580</v>
      </c>
      <c r="E37" s="130">
        <v>43581</v>
      </c>
      <c r="F37" s="133">
        <v>834</v>
      </c>
      <c r="G37" s="23" t="s">
        <v>75</v>
      </c>
      <c r="H37" s="25" t="s">
        <v>73</v>
      </c>
      <c r="I37" s="103">
        <v>12</v>
      </c>
      <c r="J37" s="103">
        <v>12</v>
      </c>
      <c r="K37" s="103">
        <v>12</v>
      </c>
      <c r="L37" s="103">
        <v>12</v>
      </c>
      <c r="M37" s="103">
        <v>12</v>
      </c>
      <c r="N37" s="103">
        <v>12</v>
      </c>
      <c r="O37" s="103">
        <v>12</v>
      </c>
      <c r="P37" s="103">
        <v>12</v>
      </c>
      <c r="Q37" s="102">
        <v>6</v>
      </c>
      <c r="R37" s="102">
        <v>0</v>
      </c>
      <c r="S37" s="102">
        <v>0</v>
      </c>
      <c r="T37" s="102">
        <v>0</v>
      </c>
      <c r="U37" s="102">
        <v>0</v>
      </c>
      <c r="V37" s="102">
        <v>0</v>
      </c>
      <c r="W37" s="102">
        <v>0</v>
      </c>
    </row>
    <row r="38" spans="1:23" ht="39.950000000000003" customHeight="1" x14ac:dyDescent="0.2">
      <c r="A38" s="97"/>
      <c r="B38" s="114" t="s">
        <v>83</v>
      </c>
      <c r="C38" s="98" t="s">
        <v>106</v>
      </c>
      <c r="D38" s="130">
        <v>43581</v>
      </c>
      <c r="E38" s="130">
        <v>43581</v>
      </c>
      <c r="F38" s="128">
        <v>708626</v>
      </c>
      <c r="G38" s="23" t="s">
        <v>75</v>
      </c>
      <c r="H38" s="25" t="s">
        <v>73</v>
      </c>
      <c r="I38" s="102">
        <v>10</v>
      </c>
      <c r="J38" s="102">
        <v>10</v>
      </c>
      <c r="K38" s="102">
        <v>10</v>
      </c>
      <c r="L38" s="102">
        <v>10</v>
      </c>
      <c r="M38" s="102">
        <v>10</v>
      </c>
      <c r="N38" s="102">
        <v>10</v>
      </c>
      <c r="O38" s="102">
        <v>10</v>
      </c>
      <c r="P38" s="102">
        <v>10</v>
      </c>
      <c r="Q38" s="102">
        <v>10</v>
      </c>
      <c r="R38" s="102">
        <v>0</v>
      </c>
      <c r="S38" s="102">
        <v>0</v>
      </c>
      <c r="T38" s="102">
        <v>0</v>
      </c>
      <c r="U38" s="102">
        <v>0</v>
      </c>
      <c r="V38" s="102">
        <v>0</v>
      </c>
      <c r="W38" s="102">
        <v>0</v>
      </c>
    </row>
    <row r="39" spans="1:23" ht="39.950000000000003" customHeight="1" x14ac:dyDescent="0.2">
      <c r="A39" s="97"/>
      <c r="B39" s="114" t="s">
        <v>84</v>
      </c>
      <c r="C39" s="98" t="s">
        <v>107</v>
      </c>
      <c r="D39" s="130">
        <v>43584</v>
      </c>
      <c r="E39" s="130">
        <v>43584</v>
      </c>
      <c r="F39" s="128">
        <v>708626</v>
      </c>
      <c r="G39" s="23" t="s">
        <v>75</v>
      </c>
      <c r="H39" s="25" t="s">
        <v>73</v>
      </c>
      <c r="I39" s="103">
        <v>12</v>
      </c>
      <c r="J39" s="103">
        <v>12</v>
      </c>
      <c r="K39" s="103">
        <v>12</v>
      </c>
      <c r="L39" s="103">
        <v>12</v>
      </c>
      <c r="M39" s="103">
        <v>12</v>
      </c>
      <c r="N39" s="103">
        <v>12</v>
      </c>
      <c r="O39" s="103">
        <v>12</v>
      </c>
      <c r="P39" s="103">
        <v>12</v>
      </c>
      <c r="Q39" s="103">
        <v>12</v>
      </c>
      <c r="R39" s="103">
        <v>12</v>
      </c>
      <c r="S39" s="103">
        <v>0</v>
      </c>
      <c r="T39" s="103">
        <v>0</v>
      </c>
      <c r="U39" s="103">
        <v>0</v>
      </c>
      <c r="V39" s="103">
        <v>0</v>
      </c>
      <c r="W39" s="102">
        <v>0</v>
      </c>
    </row>
    <row r="40" spans="1:23" ht="39.950000000000003" customHeight="1" x14ac:dyDescent="0.2">
      <c r="A40" s="97"/>
      <c r="B40" s="114" t="s">
        <v>85</v>
      </c>
      <c r="C40" s="98" t="s">
        <v>108</v>
      </c>
      <c r="D40" s="130">
        <v>43584</v>
      </c>
      <c r="E40" s="130">
        <v>43585</v>
      </c>
      <c r="F40" s="135">
        <v>834</v>
      </c>
      <c r="G40" s="23" t="s">
        <v>75</v>
      </c>
      <c r="H40" s="25" t="s">
        <v>73</v>
      </c>
      <c r="I40" s="103">
        <v>12</v>
      </c>
      <c r="J40" s="103">
        <v>12</v>
      </c>
      <c r="K40" s="103">
        <v>12</v>
      </c>
      <c r="L40" s="103">
        <v>12</v>
      </c>
      <c r="M40" s="103">
        <v>12</v>
      </c>
      <c r="N40" s="103">
        <v>12</v>
      </c>
      <c r="O40" s="103">
        <v>12</v>
      </c>
      <c r="P40" s="103">
        <v>12</v>
      </c>
      <c r="Q40" s="103">
        <v>12</v>
      </c>
      <c r="R40" s="103">
        <v>12</v>
      </c>
      <c r="S40" s="103">
        <v>6</v>
      </c>
      <c r="T40" s="103">
        <v>0</v>
      </c>
      <c r="U40" s="103">
        <v>0</v>
      </c>
      <c r="V40" s="103">
        <v>0</v>
      </c>
      <c r="W40" s="102">
        <v>0</v>
      </c>
    </row>
    <row r="41" spans="1:23" ht="39.950000000000003" customHeight="1" x14ac:dyDescent="0.2">
      <c r="A41" s="112" t="s">
        <v>109</v>
      </c>
      <c r="B41" s="114" t="s">
        <v>82</v>
      </c>
      <c r="C41" s="98" t="s">
        <v>110</v>
      </c>
      <c r="D41" s="130">
        <v>43585</v>
      </c>
      <c r="E41" s="130">
        <v>43585</v>
      </c>
      <c r="F41" s="128">
        <v>708626</v>
      </c>
      <c r="G41" s="23" t="s">
        <v>75</v>
      </c>
      <c r="H41" s="25" t="s">
        <v>73</v>
      </c>
      <c r="I41" s="103">
        <v>12</v>
      </c>
      <c r="J41" s="103">
        <v>12</v>
      </c>
      <c r="K41" s="103">
        <v>12</v>
      </c>
      <c r="L41" s="103">
        <v>12</v>
      </c>
      <c r="M41" s="103">
        <v>12</v>
      </c>
      <c r="N41" s="103">
        <v>12</v>
      </c>
      <c r="O41" s="103">
        <v>12</v>
      </c>
      <c r="P41" s="103">
        <v>12</v>
      </c>
      <c r="Q41" s="103">
        <v>12</v>
      </c>
      <c r="R41" s="103">
        <v>12</v>
      </c>
      <c r="S41" s="103">
        <v>12</v>
      </c>
      <c r="T41" s="103">
        <v>0</v>
      </c>
      <c r="U41" s="103">
        <v>0</v>
      </c>
      <c r="V41" s="103">
        <v>0</v>
      </c>
      <c r="W41" s="102">
        <v>0</v>
      </c>
    </row>
    <row r="42" spans="1:23" ht="39.950000000000003" customHeight="1" x14ac:dyDescent="0.2">
      <c r="A42" s="97"/>
      <c r="B42" s="114" t="s">
        <v>83</v>
      </c>
      <c r="C42" s="98" t="s">
        <v>111</v>
      </c>
      <c r="D42" s="130">
        <v>43587</v>
      </c>
      <c r="E42" s="130">
        <v>43587</v>
      </c>
      <c r="F42" s="128">
        <v>708834</v>
      </c>
      <c r="G42" s="23" t="s">
        <v>75</v>
      </c>
      <c r="H42" s="25" t="s">
        <v>73</v>
      </c>
      <c r="I42" s="103">
        <v>12</v>
      </c>
      <c r="J42" s="103">
        <v>12</v>
      </c>
      <c r="K42" s="103">
        <v>12</v>
      </c>
      <c r="L42" s="103">
        <v>12</v>
      </c>
      <c r="M42" s="103">
        <v>12</v>
      </c>
      <c r="N42" s="103">
        <v>12</v>
      </c>
      <c r="O42" s="103">
        <v>12</v>
      </c>
      <c r="P42" s="103">
        <v>12</v>
      </c>
      <c r="Q42" s="103">
        <v>12</v>
      </c>
      <c r="R42" s="103">
        <v>12</v>
      </c>
      <c r="S42" s="103">
        <v>12</v>
      </c>
      <c r="T42" s="103">
        <v>12</v>
      </c>
      <c r="U42" s="103">
        <v>0</v>
      </c>
      <c r="V42" s="103">
        <v>0</v>
      </c>
      <c r="W42" s="102">
        <v>0</v>
      </c>
    </row>
    <row r="43" spans="1:23" ht="39.950000000000003" customHeight="1" x14ac:dyDescent="0.2">
      <c r="A43" s="112" t="s">
        <v>112</v>
      </c>
      <c r="B43" s="114" t="s">
        <v>82</v>
      </c>
      <c r="C43" s="98" t="s">
        <v>113</v>
      </c>
      <c r="D43" s="130">
        <v>43587</v>
      </c>
      <c r="E43" s="130">
        <v>43588</v>
      </c>
      <c r="F43" s="133">
        <v>626</v>
      </c>
      <c r="G43" s="23" t="s">
        <v>75</v>
      </c>
      <c r="H43" s="25" t="s">
        <v>73</v>
      </c>
      <c r="I43" s="103">
        <v>12</v>
      </c>
      <c r="J43" s="103">
        <v>12</v>
      </c>
      <c r="K43" s="103">
        <v>12</v>
      </c>
      <c r="L43" s="103">
        <v>12</v>
      </c>
      <c r="M43" s="103">
        <v>12</v>
      </c>
      <c r="N43" s="103">
        <v>12</v>
      </c>
      <c r="O43" s="103">
        <v>12</v>
      </c>
      <c r="P43" s="103">
        <v>12</v>
      </c>
      <c r="Q43" s="103">
        <v>12</v>
      </c>
      <c r="R43" s="103">
        <v>12</v>
      </c>
      <c r="S43" s="103">
        <v>12</v>
      </c>
      <c r="T43" s="103">
        <v>12</v>
      </c>
      <c r="U43" s="103">
        <v>6</v>
      </c>
      <c r="V43" s="103">
        <v>0</v>
      </c>
      <c r="W43" s="102">
        <v>0</v>
      </c>
    </row>
    <row r="44" spans="1:23" ht="39.950000000000003" customHeight="1" x14ac:dyDescent="0.2">
      <c r="A44" s="97"/>
      <c r="B44" s="114" t="s">
        <v>83</v>
      </c>
      <c r="C44" s="98" t="s">
        <v>114</v>
      </c>
      <c r="D44" s="130">
        <v>43588</v>
      </c>
      <c r="E44" s="130">
        <v>43588</v>
      </c>
      <c r="F44" s="128">
        <v>708834</v>
      </c>
      <c r="G44" s="23" t="s">
        <v>75</v>
      </c>
      <c r="H44" s="25" t="s">
        <v>73</v>
      </c>
      <c r="I44" s="103">
        <v>12</v>
      </c>
      <c r="J44" s="103">
        <v>12</v>
      </c>
      <c r="K44" s="103">
        <v>12</v>
      </c>
      <c r="L44" s="103">
        <v>12</v>
      </c>
      <c r="M44" s="103">
        <v>12</v>
      </c>
      <c r="N44" s="103">
        <v>12</v>
      </c>
      <c r="O44" s="103">
        <v>12</v>
      </c>
      <c r="P44" s="103">
        <v>12</v>
      </c>
      <c r="Q44" s="103">
        <v>12</v>
      </c>
      <c r="R44" s="103">
        <v>12</v>
      </c>
      <c r="S44" s="103">
        <v>12</v>
      </c>
      <c r="T44" s="103">
        <v>12</v>
      </c>
      <c r="U44" s="103">
        <v>12</v>
      </c>
      <c r="V44" s="103">
        <v>0</v>
      </c>
      <c r="W44" s="102">
        <v>0</v>
      </c>
    </row>
    <row r="45" spans="1:23" ht="39.950000000000003" customHeight="1" x14ac:dyDescent="0.2">
      <c r="A45" s="97"/>
      <c r="B45" s="114" t="s">
        <v>84</v>
      </c>
      <c r="C45" s="98" t="s">
        <v>115</v>
      </c>
      <c r="D45" s="130">
        <v>43591</v>
      </c>
      <c r="E45" s="130">
        <v>43591</v>
      </c>
      <c r="F45" s="128">
        <v>708626</v>
      </c>
      <c r="G45" s="23" t="s">
        <v>75</v>
      </c>
      <c r="H45" s="25" t="s">
        <v>73</v>
      </c>
      <c r="I45" s="103">
        <v>12</v>
      </c>
      <c r="J45" s="103">
        <v>12</v>
      </c>
      <c r="K45" s="103">
        <v>12</v>
      </c>
      <c r="L45" s="103">
        <v>12</v>
      </c>
      <c r="M45" s="103">
        <v>12</v>
      </c>
      <c r="N45" s="103">
        <v>12</v>
      </c>
      <c r="O45" s="103">
        <v>12</v>
      </c>
      <c r="P45" s="103">
        <v>12</v>
      </c>
      <c r="Q45" s="103">
        <v>12</v>
      </c>
      <c r="R45" s="103">
        <v>12</v>
      </c>
      <c r="S45" s="103">
        <v>12</v>
      </c>
      <c r="T45" s="103">
        <v>12</v>
      </c>
      <c r="U45" s="103">
        <v>12</v>
      </c>
      <c r="V45" s="103">
        <v>12</v>
      </c>
      <c r="W45" s="102">
        <v>0</v>
      </c>
    </row>
    <row r="46" spans="1:23" ht="42" customHeight="1" x14ac:dyDescent="0.2"/>
    <row r="47" spans="1:23" ht="42" customHeight="1" x14ac:dyDescent="0.2"/>
    <row r="48" spans="1:23" ht="21.75" customHeight="1" x14ac:dyDescent="0.2"/>
    <row r="49" ht="18.75" customHeight="1" x14ac:dyDescent="0.2"/>
    <row r="50" ht="21.75" customHeight="1" x14ac:dyDescent="0.2"/>
    <row r="51" ht="18.75" customHeight="1" x14ac:dyDescent="0.2"/>
    <row r="52" ht="18" customHeight="1" x14ac:dyDescent="0.2"/>
    <row r="53" ht="21" customHeight="1" x14ac:dyDescent="0.2"/>
    <row r="54" ht="16.5" customHeight="1" x14ac:dyDescent="0.2"/>
    <row r="55" ht="19.5" customHeight="1" x14ac:dyDescent="0.2"/>
    <row r="56" ht="19.5" customHeight="1" x14ac:dyDescent="0.2"/>
    <row r="57" ht="18.75" customHeight="1" x14ac:dyDescent="0.2"/>
    <row r="58" ht="11.25" customHeight="1" x14ac:dyDescent="0.2"/>
    <row r="59" ht="11.25" customHeight="1" x14ac:dyDescent="0.2"/>
    <row r="76" ht="17.25" customHeight="1" x14ac:dyDescent="0.2"/>
    <row r="77" ht="21" customHeight="1" x14ac:dyDescent="0.2"/>
    <row r="78" ht="21" customHeight="1" x14ac:dyDescent="0.2"/>
    <row r="79" ht="22.5" customHeight="1" x14ac:dyDescent="0.2"/>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80:F65509">
      <formula1>Team</formula1>
    </dataValidation>
    <dataValidation type="list" allowBlank="1" showInputMessage="1" showErrorMessage="1" sqref="G80:G65509">
      <formula1>Category</formula1>
    </dataValidation>
    <dataValidation type="list" allowBlank="1" showInputMessage="1" showErrorMessage="1" sqref="H80:H65509">
      <formula1>Status</formula1>
    </dataValidation>
    <dataValidation type="decimal" operator="lessThanOrEqual" allowBlank="1" showInputMessage="1" showErrorMessage="1" sqref="J5:J9 K5:L8 L9 M5:Q9 R5:W45 J25:Q45">
      <formula1>I5</formula1>
    </dataValidation>
    <dataValidation type="list" allowBlank="1" showInputMessage="1" showErrorMessage="1" sqref="H5:H37 H39:H45">
      <formula1>"1- Not Started, 2- In Progress, 3- Completed"</formula1>
    </dataValidation>
    <dataValidation type="decimal" allowBlank="1" showInputMessage="1" showErrorMessage="1" sqref="I5:I8 I25:I45">
      <formula1>0</formula1>
      <formula2>12</formula2>
    </dataValidation>
    <dataValidation type="list" allowBlank="1" showInputMessage="1" showErrorMessage="1" sqref="E23 G5:G37 G39:G45">
      <formula1>"Build, Coding, Design, Integration Test, Regression Test, System Test, Unit Test, Others"</formula1>
    </dataValidation>
    <dataValidation type="decimal" operator="lessThanOrEqual" allowBlank="1" showInputMessage="1" showErrorMessage="1" sqref="I9 P15:Q18 I10:L10 N10:Q10 I11:N11 P11:Q11 O12:Q14 I12:M18 F11:F16 F18:F19 F23 F21 I19:Q23">
      <formula1>#REF!</formula1>
    </dataValidation>
  </dataValidations>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105"/>
  <sheetViews>
    <sheetView zoomScale="80" zoomScaleNormal="80" workbookViewId="0">
      <selection activeCell="B2" sqref="B2:B3"/>
    </sheetView>
  </sheetViews>
  <sheetFormatPr defaultRowHeight="11.25" x14ac:dyDescent="0.2"/>
  <cols>
    <col min="1" max="1" width="10" style="21" customWidth="1"/>
    <col min="2" max="2" width="9.7109375" style="36" customWidth="1"/>
    <col min="3" max="3" width="41.28515625" style="37" customWidth="1"/>
    <col min="4" max="4" width="11.42578125" style="38" customWidth="1"/>
    <col min="5" max="5" width="11.42578125" style="39" customWidth="1"/>
    <col min="6" max="6" width="9.7109375" style="40" customWidth="1"/>
    <col min="7" max="7" width="17" style="21" customWidth="1"/>
    <col min="8" max="8" width="13.28515625" style="41" customWidth="1"/>
    <col min="9" max="9" width="9.28515625" style="41" customWidth="1"/>
    <col min="10" max="10" width="10.85546875" style="41" customWidth="1"/>
    <col min="11" max="11" width="10.28515625" style="21" customWidth="1"/>
    <col min="12" max="12" width="10.140625" style="21" customWidth="1"/>
    <col min="13" max="16384" width="9.140625" style="21"/>
  </cols>
  <sheetData>
    <row r="1" spans="1:23" ht="18.75" customHeight="1" thickBot="1" x14ac:dyDescent="0.25">
      <c r="A1" s="92" t="s">
        <v>35</v>
      </c>
      <c r="B1" s="93"/>
      <c r="C1" s="93"/>
      <c r="D1" s="93"/>
      <c r="E1" s="93"/>
      <c r="F1" s="93"/>
      <c r="G1" s="93"/>
      <c r="H1" s="93"/>
      <c r="I1" s="93"/>
      <c r="J1" s="93"/>
      <c r="K1" s="93"/>
      <c r="L1" s="93"/>
      <c r="M1" s="93"/>
      <c r="N1" s="93"/>
      <c r="O1" s="93"/>
      <c r="P1" s="93"/>
      <c r="Q1" s="93"/>
      <c r="R1" s="93"/>
      <c r="S1" s="93"/>
      <c r="T1" s="94"/>
      <c r="U1" s="94"/>
      <c r="V1" s="93"/>
      <c r="W1" s="94"/>
    </row>
    <row r="2" spans="1:23" s="22" customFormat="1" ht="45.75" customHeight="1" x14ac:dyDescent="0.2">
      <c r="A2" s="214" t="s">
        <v>1</v>
      </c>
      <c r="B2" s="210" t="s">
        <v>3</v>
      </c>
      <c r="C2" s="208" t="s">
        <v>2</v>
      </c>
      <c r="D2" s="208" t="s">
        <v>8</v>
      </c>
      <c r="E2" s="212" t="s">
        <v>7</v>
      </c>
      <c r="F2" s="208" t="s">
        <v>4</v>
      </c>
      <c r="G2" s="208" t="s">
        <v>5</v>
      </c>
      <c r="H2" s="208" t="s">
        <v>0</v>
      </c>
      <c r="I2" s="50" t="s">
        <v>26</v>
      </c>
      <c r="J2" s="51" t="s">
        <v>23</v>
      </c>
      <c r="K2" s="51" t="s">
        <v>24</v>
      </c>
      <c r="L2" s="51" t="s">
        <v>25</v>
      </c>
      <c r="M2" s="51" t="s">
        <v>47</v>
      </c>
      <c r="N2" s="51" t="s">
        <v>48</v>
      </c>
      <c r="O2" s="51" t="s">
        <v>49</v>
      </c>
      <c r="P2" s="51" t="s">
        <v>50</v>
      </c>
      <c r="Q2" s="51" t="s">
        <v>51</v>
      </c>
      <c r="R2" s="51" t="s">
        <v>52</v>
      </c>
      <c r="S2" s="51" t="s">
        <v>53</v>
      </c>
      <c r="T2" s="51" t="s">
        <v>67</v>
      </c>
      <c r="U2" s="51" t="s">
        <v>68</v>
      </c>
      <c r="V2" s="51" t="s">
        <v>69</v>
      </c>
      <c r="W2" s="51" t="s">
        <v>70</v>
      </c>
    </row>
    <row r="3" spans="1:23" s="22" customFormat="1" ht="30" customHeight="1" x14ac:dyDescent="0.2">
      <c r="A3" s="215"/>
      <c r="B3" s="211"/>
      <c r="C3" s="209"/>
      <c r="D3" s="209"/>
      <c r="E3" s="213"/>
      <c r="F3" s="209"/>
      <c r="G3" s="209"/>
      <c r="H3" s="209"/>
      <c r="I3" s="95">
        <f t="shared" ref="I3:W3" si="0">SUM(I5:I801)</f>
        <v>176</v>
      </c>
      <c r="J3" s="95">
        <f t="shared" si="0"/>
        <v>146</v>
      </c>
      <c r="K3" s="95">
        <f t="shared" si="0"/>
        <v>114</v>
      </c>
      <c r="L3" s="95">
        <f t="shared" si="0"/>
        <v>80</v>
      </c>
      <c r="M3" s="95">
        <f t="shared" si="0"/>
        <v>54</v>
      </c>
      <c r="N3" s="95">
        <f t="shared" si="0"/>
        <v>28</v>
      </c>
      <c r="O3" s="95">
        <f t="shared" si="0"/>
        <v>0</v>
      </c>
      <c r="P3" s="95">
        <f t="shared" si="0"/>
        <v>0</v>
      </c>
      <c r="Q3" s="95">
        <f t="shared" si="0"/>
        <v>0</v>
      </c>
      <c r="R3" s="95">
        <f t="shared" si="0"/>
        <v>0</v>
      </c>
      <c r="S3" s="95">
        <f t="shared" si="0"/>
        <v>0</v>
      </c>
      <c r="T3" s="95">
        <f t="shared" si="0"/>
        <v>0</v>
      </c>
      <c r="U3" s="95">
        <f t="shared" si="0"/>
        <v>0</v>
      </c>
      <c r="V3" s="95">
        <f t="shared" si="0"/>
        <v>0</v>
      </c>
      <c r="W3" s="95">
        <f t="shared" si="0"/>
        <v>0</v>
      </c>
    </row>
    <row r="4" spans="1:23" s="22" customFormat="1" ht="33.75" customHeight="1" x14ac:dyDescent="0.2">
      <c r="A4" s="207" t="s">
        <v>34</v>
      </c>
      <c r="B4" s="207"/>
      <c r="C4" s="207"/>
      <c r="D4" s="207"/>
      <c r="E4" s="207"/>
      <c r="F4" s="207"/>
      <c r="G4" s="207"/>
      <c r="H4" s="207"/>
      <c r="I4" s="207"/>
      <c r="J4" s="207"/>
      <c r="K4" s="207"/>
      <c r="L4" s="207"/>
      <c r="M4" s="207"/>
      <c r="N4" s="207"/>
      <c r="O4" s="207"/>
      <c r="P4" s="207"/>
      <c r="Q4" s="207"/>
      <c r="R4" s="207"/>
      <c r="S4" s="207"/>
      <c r="T4" s="207"/>
      <c r="U4" s="207"/>
      <c r="V4" s="207"/>
      <c r="W4" s="207"/>
    </row>
    <row r="5" spans="1:23" ht="24.75" customHeight="1" x14ac:dyDescent="0.2">
      <c r="A5" s="110" t="s">
        <v>123</v>
      </c>
      <c r="B5" s="27" t="s">
        <v>82</v>
      </c>
      <c r="C5" s="111" t="s">
        <v>167</v>
      </c>
      <c r="D5" s="130">
        <v>43599</v>
      </c>
      <c r="E5" s="130">
        <v>43600</v>
      </c>
      <c r="F5" s="128">
        <v>707190</v>
      </c>
      <c r="G5" s="23" t="s">
        <v>74</v>
      </c>
      <c r="H5" s="25" t="s">
        <v>73</v>
      </c>
      <c r="I5" s="103">
        <v>12</v>
      </c>
      <c r="J5" s="103">
        <v>12</v>
      </c>
      <c r="K5" s="103">
        <v>12</v>
      </c>
      <c r="L5" s="103">
        <v>12</v>
      </c>
      <c r="M5" s="103">
        <v>12</v>
      </c>
      <c r="N5" s="103">
        <v>4</v>
      </c>
      <c r="O5" s="103">
        <v>0</v>
      </c>
      <c r="P5" s="103">
        <v>0</v>
      </c>
      <c r="Q5" s="103">
        <v>0</v>
      </c>
      <c r="R5" s="103">
        <v>0</v>
      </c>
      <c r="S5" s="103">
        <v>0</v>
      </c>
      <c r="T5" s="103">
        <v>0</v>
      </c>
      <c r="U5" s="103">
        <v>0</v>
      </c>
      <c r="V5" s="103">
        <v>0</v>
      </c>
      <c r="W5" s="103">
        <v>0</v>
      </c>
    </row>
    <row r="6" spans="1:23" ht="24.75" customHeight="1" x14ac:dyDescent="0.2">
      <c r="A6" s="97"/>
      <c r="B6" s="27" t="s">
        <v>83</v>
      </c>
      <c r="C6" s="98" t="s">
        <v>168</v>
      </c>
      <c r="D6" s="130">
        <v>43595</v>
      </c>
      <c r="E6" s="130">
        <v>43595</v>
      </c>
      <c r="F6" s="128">
        <v>707190</v>
      </c>
      <c r="G6" s="23" t="s">
        <v>74</v>
      </c>
      <c r="H6" s="25" t="s">
        <v>73</v>
      </c>
      <c r="I6" s="103">
        <v>12</v>
      </c>
      <c r="J6" s="103">
        <v>12</v>
      </c>
      <c r="K6" s="103">
        <v>12</v>
      </c>
      <c r="L6" s="103">
        <v>0</v>
      </c>
      <c r="M6" s="103">
        <v>0</v>
      </c>
      <c r="N6" s="103">
        <v>0</v>
      </c>
      <c r="O6" s="103">
        <v>0</v>
      </c>
      <c r="P6" s="103">
        <v>0</v>
      </c>
      <c r="Q6" s="103">
        <v>0</v>
      </c>
      <c r="R6" s="103">
        <v>0</v>
      </c>
      <c r="S6" s="103">
        <v>0</v>
      </c>
      <c r="T6" s="103">
        <v>0</v>
      </c>
      <c r="U6" s="103">
        <v>0</v>
      </c>
      <c r="V6" s="103">
        <v>0</v>
      </c>
      <c r="W6" s="103">
        <v>0</v>
      </c>
    </row>
    <row r="7" spans="1:23" ht="21" customHeight="1" x14ac:dyDescent="0.2">
      <c r="A7" s="97"/>
      <c r="B7" s="27" t="s">
        <v>84</v>
      </c>
      <c r="C7" s="98" t="s">
        <v>86</v>
      </c>
      <c r="D7" s="130">
        <v>43598</v>
      </c>
      <c r="E7" s="130">
        <v>43598</v>
      </c>
      <c r="F7" s="128">
        <v>707190</v>
      </c>
      <c r="G7" s="23" t="s">
        <v>75</v>
      </c>
      <c r="H7" s="25" t="s">
        <v>73</v>
      </c>
      <c r="I7" s="102">
        <v>10</v>
      </c>
      <c r="J7" s="102">
        <v>10</v>
      </c>
      <c r="K7" s="102">
        <v>10</v>
      </c>
      <c r="L7" s="102">
        <v>10</v>
      </c>
      <c r="M7" s="102">
        <v>0</v>
      </c>
      <c r="N7" s="102">
        <v>0</v>
      </c>
      <c r="O7" s="103">
        <v>0</v>
      </c>
      <c r="P7" s="103">
        <v>0</v>
      </c>
      <c r="Q7" s="103">
        <v>0</v>
      </c>
      <c r="R7" s="103">
        <v>0</v>
      </c>
      <c r="S7" s="103">
        <v>0</v>
      </c>
      <c r="T7" s="103">
        <v>0</v>
      </c>
      <c r="U7" s="103">
        <v>0</v>
      </c>
      <c r="V7" s="103">
        <v>0</v>
      </c>
      <c r="W7" s="103">
        <v>0</v>
      </c>
    </row>
    <row r="8" spans="1:23" ht="21.75" customHeight="1" x14ac:dyDescent="0.2">
      <c r="A8" s="97"/>
      <c r="B8" s="27" t="s">
        <v>85</v>
      </c>
      <c r="C8" s="98" t="s">
        <v>88</v>
      </c>
      <c r="D8" s="130">
        <v>43599</v>
      </c>
      <c r="E8" s="130">
        <v>43599</v>
      </c>
      <c r="F8" s="128">
        <v>705835</v>
      </c>
      <c r="G8" s="23" t="s">
        <v>75</v>
      </c>
      <c r="H8" s="25" t="s">
        <v>73</v>
      </c>
      <c r="I8" s="103">
        <v>12</v>
      </c>
      <c r="J8" s="103">
        <v>12</v>
      </c>
      <c r="K8" s="103">
        <v>12</v>
      </c>
      <c r="L8" s="103">
        <v>12</v>
      </c>
      <c r="M8" s="103">
        <v>12</v>
      </c>
      <c r="N8" s="103">
        <v>0</v>
      </c>
      <c r="O8" s="103">
        <v>0</v>
      </c>
      <c r="P8" s="103">
        <v>0</v>
      </c>
      <c r="Q8" s="103">
        <v>0</v>
      </c>
      <c r="R8" s="103">
        <v>0</v>
      </c>
      <c r="S8" s="103">
        <v>0</v>
      </c>
      <c r="T8" s="103">
        <v>0</v>
      </c>
      <c r="U8" s="103">
        <v>0</v>
      </c>
      <c r="V8" s="103">
        <v>0</v>
      </c>
      <c r="W8" s="103">
        <v>0</v>
      </c>
    </row>
    <row r="9" spans="1:23" ht="21.75" customHeight="1" x14ac:dyDescent="0.2">
      <c r="A9" s="97"/>
      <c r="B9" s="27" t="s">
        <v>87</v>
      </c>
      <c r="C9" s="115" t="s">
        <v>90</v>
      </c>
      <c r="D9" s="130">
        <v>43600</v>
      </c>
      <c r="E9" s="130">
        <v>43600</v>
      </c>
      <c r="F9" s="128">
        <v>705</v>
      </c>
      <c r="G9" s="23" t="s">
        <v>91</v>
      </c>
      <c r="H9" s="25" t="s">
        <v>73</v>
      </c>
      <c r="I9" s="102">
        <v>6</v>
      </c>
      <c r="J9" s="102">
        <v>6</v>
      </c>
      <c r="K9" s="102">
        <v>6</v>
      </c>
      <c r="L9" s="102">
        <v>6</v>
      </c>
      <c r="M9" s="102">
        <v>6</v>
      </c>
      <c r="N9" s="102">
        <v>6</v>
      </c>
      <c r="O9" s="103">
        <v>0</v>
      </c>
      <c r="P9" s="103">
        <v>0</v>
      </c>
      <c r="Q9" s="103">
        <v>0</v>
      </c>
      <c r="R9" s="103">
        <v>0</v>
      </c>
      <c r="S9" s="103">
        <v>0</v>
      </c>
      <c r="T9" s="103">
        <v>0</v>
      </c>
      <c r="U9" s="103">
        <v>0</v>
      </c>
      <c r="V9" s="103">
        <v>0</v>
      </c>
      <c r="W9" s="103">
        <v>0</v>
      </c>
    </row>
    <row r="10" spans="1:23" ht="22.5" customHeight="1" x14ac:dyDescent="0.2">
      <c r="A10" s="97"/>
      <c r="B10" s="114" t="s">
        <v>89</v>
      </c>
      <c r="C10" s="115" t="s">
        <v>93</v>
      </c>
      <c r="D10" s="130">
        <v>43600</v>
      </c>
      <c r="E10" s="130">
        <v>43600</v>
      </c>
      <c r="F10" s="128">
        <v>835</v>
      </c>
      <c r="G10" s="23" t="s">
        <v>94</v>
      </c>
      <c r="H10" s="25" t="s">
        <v>73</v>
      </c>
      <c r="I10" s="102">
        <v>6</v>
      </c>
      <c r="J10" s="102">
        <v>6</v>
      </c>
      <c r="K10" s="102">
        <v>6</v>
      </c>
      <c r="L10" s="102">
        <v>6</v>
      </c>
      <c r="M10" s="102">
        <v>6</v>
      </c>
      <c r="N10" s="102">
        <v>6</v>
      </c>
      <c r="O10" s="103">
        <v>0</v>
      </c>
      <c r="P10" s="103">
        <v>0</v>
      </c>
      <c r="Q10" s="103">
        <v>0</v>
      </c>
      <c r="R10" s="103">
        <v>0</v>
      </c>
      <c r="S10" s="103">
        <v>0</v>
      </c>
      <c r="T10" s="103">
        <v>0</v>
      </c>
      <c r="U10" s="103">
        <v>0</v>
      </c>
      <c r="V10" s="103">
        <v>0</v>
      </c>
      <c r="W10" s="103">
        <v>0</v>
      </c>
    </row>
    <row r="11" spans="1:23" ht="21.75" customHeight="1" x14ac:dyDescent="0.2">
      <c r="A11" s="97"/>
      <c r="B11" s="114" t="s">
        <v>92</v>
      </c>
      <c r="C11" s="115" t="s">
        <v>96</v>
      </c>
      <c r="D11" s="130">
        <v>43600</v>
      </c>
      <c r="E11" s="130">
        <v>43600</v>
      </c>
      <c r="F11" s="128">
        <v>707190</v>
      </c>
      <c r="G11" s="23" t="s">
        <v>75</v>
      </c>
      <c r="H11" s="25" t="s">
        <v>73</v>
      </c>
      <c r="I11" s="102">
        <v>6</v>
      </c>
      <c r="J11" s="102">
        <v>6</v>
      </c>
      <c r="K11" s="102">
        <v>6</v>
      </c>
      <c r="L11" s="102">
        <v>6</v>
      </c>
      <c r="M11" s="102">
        <v>6</v>
      </c>
      <c r="N11" s="102">
        <v>6</v>
      </c>
      <c r="O11" s="103">
        <v>0</v>
      </c>
      <c r="P11" s="103">
        <v>0</v>
      </c>
      <c r="Q11" s="103">
        <v>0</v>
      </c>
      <c r="R11" s="103">
        <v>0</v>
      </c>
      <c r="S11" s="103">
        <v>0</v>
      </c>
      <c r="T11" s="103">
        <v>0</v>
      </c>
      <c r="U11" s="103">
        <v>0</v>
      </c>
      <c r="V11" s="103">
        <v>0</v>
      </c>
      <c r="W11" s="103">
        <v>0</v>
      </c>
    </row>
    <row r="12" spans="1:23" ht="22.5" customHeight="1" x14ac:dyDescent="0.2">
      <c r="A12" s="116" t="s">
        <v>124</v>
      </c>
      <c r="B12" s="114" t="s">
        <v>82</v>
      </c>
      <c r="C12" s="111" t="s">
        <v>160</v>
      </c>
      <c r="D12" s="130">
        <v>43593</v>
      </c>
      <c r="E12" s="130">
        <v>43593</v>
      </c>
      <c r="F12" s="128">
        <v>707190</v>
      </c>
      <c r="G12" s="23" t="s">
        <v>74</v>
      </c>
      <c r="H12" s="25" t="s">
        <v>73</v>
      </c>
      <c r="I12" s="103">
        <v>12</v>
      </c>
      <c r="J12" s="103">
        <v>0</v>
      </c>
      <c r="K12" s="103">
        <v>0</v>
      </c>
      <c r="L12" s="103">
        <v>0</v>
      </c>
      <c r="M12" s="103">
        <v>0</v>
      </c>
      <c r="N12" s="103">
        <v>0</v>
      </c>
      <c r="O12" s="103">
        <v>0</v>
      </c>
      <c r="P12" s="103">
        <v>0</v>
      </c>
      <c r="Q12" s="103">
        <v>0</v>
      </c>
      <c r="R12" s="103">
        <v>0</v>
      </c>
      <c r="S12" s="103">
        <v>0</v>
      </c>
      <c r="T12" s="103">
        <v>0</v>
      </c>
      <c r="U12" s="103">
        <v>0</v>
      </c>
      <c r="V12" s="103">
        <v>0</v>
      </c>
      <c r="W12" s="103">
        <v>0</v>
      </c>
    </row>
    <row r="13" spans="1:23" ht="24.75" customHeight="1" x14ac:dyDescent="0.2">
      <c r="A13" s="97"/>
      <c r="B13" s="114" t="s">
        <v>83</v>
      </c>
      <c r="C13" s="98" t="s">
        <v>86</v>
      </c>
      <c r="D13" s="130">
        <v>43593</v>
      </c>
      <c r="E13" s="130">
        <v>43594</v>
      </c>
      <c r="F13" s="128">
        <v>705835</v>
      </c>
      <c r="G13" s="23" t="s">
        <v>75</v>
      </c>
      <c r="H13" s="25" t="s">
        <v>73</v>
      </c>
      <c r="I13" s="102">
        <v>10</v>
      </c>
      <c r="J13" s="102">
        <v>6</v>
      </c>
      <c r="K13" s="102">
        <v>0</v>
      </c>
      <c r="L13" s="102">
        <v>0</v>
      </c>
      <c r="M13" s="102">
        <v>0</v>
      </c>
      <c r="N13" s="102">
        <v>0</v>
      </c>
      <c r="O13" s="103">
        <v>0</v>
      </c>
      <c r="P13" s="103">
        <v>0</v>
      </c>
      <c r="Q13" s="103">
        <v>0</v>
      </c>
      <c r="R13" s="103">
        <v>0</v>
      </c>
      <c r="S13" s="103">
        <v>0</v>
      </c>
      <c r="T13" s="103">
        <v>0</v>
      </c>
      <c r="U13" s="103">
        <v>0</v>
      </c>
      <c r="V13" s="103">
        <v>0</v>
      </c>
      <c r="W13" s="103">
        <v>0</v>
      </c>
    </row>
    <row r="14" spans="1:23" ht="23.25" customHeight="1" x14ac:dyDescent="0.2">
      <c r="A14" s="97"/>
      <c r="B14" s="114" t="s">
        <v>84</v>
      </c>
      <c r="C14" s="98" t="s">
        <v>88</v>
      </c>
      <c r="D14" s="130">
        <v>43594</v>
      </c>
      <c r="E14" s="130">
        <v>43595</v>
      </c>
      <c r="F14" s="128">
        <v>707190</v>
      </c>
      <c r="G14" s="23" t="s">
        <v>75</v>
      </c>
      <c r="H14" s="25" t="s">
        <v>73</v>
      </c>
      <c r="I14" s="103">
        <v>12</v>
      </c>
      <c r="J14" s="103">
        <v>12</v>
      </c>
      <c r="K14" s="103">
        <v>4</v>
      </c>
      <c r="L14" s="103">
        <v>0</v>
      </c>
      <c r="M14" s="103">
        <v>0</v>
      </c>
      <c r="N14" s="103">
        <v>0</v>
      </c>
      <c r="O14" s="103">
        <v>0</v>
      </c>
      <c r="P14" s="103">
        <v>0</v>
      </c>
      <c r="Q14" s="103">
        <v>0</v>
      </c>
      <c r="R14" s="103">
        <v>0</v>
      </c>
      <c r="S14" s="103">
        <v>0</v>
      </c>
      <c r="T14" s="103">
        <v>0</v>
      </c>
      <c r="U14" s="103">
        <v>0</v>
      </c>
      <c r="V14" s="103">
        <v>0</v>
      </c>
      <c r="W14" s="103">
        <v>0</v>
      </c>
    </row>
    <row r="15" spans="1:23" ht="27" customHeight="1" x14ac:dyDescent="0.2">
      <c r="A15" s="97"/>
      <c r="B15" s="114" t="s">
        <v>85</v>
      </c>
      <c r="C15" s="115" t="s">
        <v>90</v>
      </c>
      <c r="D15" s="130">
        <v>43595</v>
      </c>
      <c r="E15" s="130">
        <v>43595</v>
      </c>
      <c r="F15" s="128">
        <v>705835</v>
      </c>
      <c r="G15" s="23" t="s">
        <v>91</v>
      </c>
      <c r="H15" s="25" t="s">
        <v>73</v>
      </c>
      <c r="I15" s="102">
        <v>6</v>
      </c>
      <c r="J15" s="102">
        <v>6</v>
      </c>
      <c r="K15" s="102">
        <v>6</v>
      </c>
      <c r="L15" s="102">
        <v>0</v>
      </c>
      <c r="M15" s="102">
        <v>0</v>
      </c>
      <c r="N15" s="102">
        <v>0</v>
      </c>
      <c r="O15" s="103">
        <v>0</v>
      </c>
      <c r="P15" s="103">
        <v>0</v>
      </c>
      <c r="Q15" s="103">
        <v>0</v>
      </c>
      <c r="R15" s="103">
        <v>0</v>
      </c>
      <c r="S15" s="103">
        <v>0</v>
      </c>
      <c r="T15" s="103">
        <v>0</v>
      </c>
      <c r="U15" s="103">
        <v>0</v>
      </c>
      <c r="V15" s="103">
        <v>0</v>
      </c>
      <c r="W15" s="103">
        <v>0</v>
      </c>
    </row>
    <row r="16" spans="1:23" ht="26.25" customHeight="1" x14ac:dyDescent="0.2">
      <c r="A16" s="97"/>
      <c r="B16" s="114" t="s">
        <v>87</v>
      </c>
      <c r="C16" s="115" t="s">
        <v>93</v>
      </c>
      <c r="D16" s="130">
        <v>43598</v>
      </c>
      <c r="E16" s="130">
        <v>43598</v>
      </c>
      <c r="F16" s="128">
        <v>705</v>
      </c>
      <c r="G16" s="23" t="s">
        <v>94</v>
      </c>
      <c r="H16" s="25" t="s">
        <v>73</v>
      </c>
      <c r="I16" s="102">
        <v>6</v>
      </c>
      <c r="J16" s="102">
        <v>6</v>
      </c>
      <c r="K16" s="102">
        <v>6</v>
      </c>
      <c r="L16" s="102">
        <v>6</v>
      </c>
      <c r="M16" s="102">
        <v>0</v>
      </c>
      <c r="N16" s="102">
        <v>0</v>
      </c>
      <c r="O16" s="103">
        <v>0</v>
      </c>
      <c r="P16" s="103">
        <v>0</v>
      </c>
      <c r="Q16" s="103">
        <v>0</v>
      </c>
      <c r="R16" s="103">
        <v>0</v>
      </c>
      <c r="S16" s="103">
        <v>0</v>
      </c>
      <c r="T16" s="103">
        <v>0</v>
      </c>
      <c r="U16" s="103">
        <v>0</v>
      </c>
      <c r="V16" s="103">
        <v>0</v>
      </c>
      <c r="W16" s="103">
        <v>0</v>
      </c>
    </row>
    <row r="17" spans="1:23" ht="24.75" customHeight="1" x14ac:dyDescent="0.2">
      <c r="A17" s="97"/>
      <c r="B17" s="114" t="s">
        <v>89</v>
      </c>
      <c r="C17" s="115" t="s">
        <v>96</v>
      </c>
      <c r="D17" s="130">
        <v>43598</v>
      </c>
      <c r="E17" s="130">
        <v>43598</v>
      </c>
      <c r="F17" s="128">
        <v>835</v>
      </c>
      <c r="G17" s="23" t="s">
        <v>75</v>
      </c>
      <c r="H17" s="25" t="s">
        <v>73</v>
      </c>
      <c r="I17" s="102">
        <v>6</v>
      </c>
      <c r="J17" s="102">
        <v>6</v>
      </c>
      <c r="K17" s="102">
        <v>6</v>
      </c>
      <c r="L17" s="102">
        <v>6</v>
      </c>
      <c r="M17" s="102">
        <v>0</v>
      </c>
      <c r="N17" s="102">
        <v>0</v>
      </c>
      <c r="O17" s="103">
        <v>0</v>
      </c>
      <c r="P17" s="103">
        <v>0</v>
      </c>
      <c r="Q17" s="103">
        <v>0</v>
      </c>
      <c r="R17" s="103">
        <v>0</v>
      </c>
      <c r="S17" s="103">
        <v>0</v>
      </c>
      <c r="T17" s="103">
        <v>0</v>
      </c>
      <c r="U17" s="103">
        <v>0</v>
      </c>
      <c r="V17" s="103">
        <v>0</v>
      </c>
      <c r="W17" s="103">
        <v>0</v>
      </c>
    </row>
    <row r="18" spans="1:23" ht="26.25" customHeight="1" x14ac:dyDescent="0.2">
      <c r="A18" s="116" t="s">
        <v>161</v>
      </c>
      <c r="B18" s="114" t="s">
        <v>82</v>
      </c>
      <c r="C18" s="115" t="s">
        <v>163</v>
      </c>
      <c r="D18" s="130">
        <v>43593</v>
      </c>
      <c r="E18" s="130">
        <v>43593</v>
      </c>
      <c r="F18" s="134">
        <v>834626</v>
      </c>
      <c r="G18" s="23" t="s">
        <v>75</v>
      </c>
      <c r="H18" s="25" t="s">
        <v>73</v>
      </c>
      <c r="I18" s="103">
        <v>12</v>
      </c>
      <c r="J18" s="103">
        <v>0</v>
      </c>
      <c r="K18" s="103">
        <v>0</v>
      </c>
      <c r="L18" s="103">
        <v>0</v>
      </c>
      <c r="M18" s="103">
        <v>0</v>
      </c>
      <c r="N18" s="103">
        <v>0</v>
      </c>
      <c r="O18" s="103">
        <v>0</v>
      </c>
      <c r="P18" s="103">
        <v>0</v>
      </c>
      <c r="Q18" s="103">
        <v>0</v>
      </c>
      <c r="R18" s="103">
        <v>0</v>
      </c>
      <c r="S18" s="103">
        <v>0</v>
      </c>
      <c r="T18" s="103">
        <v>0</v>
      </c>
      <c r="U18" s="103">
        <v>0</v>
      </c>
      <c r="V18" s="103">
        <v>0</v>
      </c>
      <c r="W18" s="103">
        <v>0</v>
      </c>
    </row>
    <row r="19" spans="1:23" ht="20.25" customHeight="1" x14ac:dyDescent="0.2">
      <c r="A19" s="97"/>
      <c r="B19" s="114" t="s">
        <v>83</v>
      </c>
      <c r="C19" s="115" t="s">
        <v>164</v>
      </c>
      <c r="D19" s="130">
        <v>43594</v>
      </c>
      <c r="E19" s="130">
        <v>43594</v>
      </c>
      <c r="F19" s="134">
        <v>834626</v>
      </c>
      <c r="G19" s="23" t="s">
        <v>75</v>
      </c>
      <c r="H19" s="25" t="s">
        <v>73</v>
      </c>
      <c r="I19" s="103">
        <v>12</v>
      </c>
      <c r="J19" s="103">
        <v>12</v>
      </c>
      <c r="K19" s="103">
        <v>0</v>
      </c>
      <c r="L19" s="103">
        <v>0</v>
      </c>
      <c r="M19" s="103">
        <v>0</v>
      </c>
      <c r="N19" s="103">
        <v>0</v>
      </c>
      <c r="O19" s="103">
        <v>0</v>
      </c>
      <c r="P19" s="103">
        <v>0</v>
      </c>
      <c r="Q19" s="103">
        <v>0</v>
      </c>
      <c r="R19" s="103">
        <v>0</v>
      </c>
      <c r="S19" s="103">
        <v>0</v>
      </c>
      <c r="T19" s="103">
        <v>0</v>
      </c>
      <c r="U19" s="103">
        <v>0</v>
      </c>
      <c r="V19" s="103">
        <v>0</v>
      </c>
      <c r="W19" s="103">
        <v>0</v>
      </c>
    </row>
    <row r="20" spans="1:23" ht="30.75" customHeight="1" x14ac:dyDescent="0.2">
      <c r="A20" s="97"/>
      <c r="B20" s="114" t="s">
        <v>84</v>
      </c>
      <c r="C20" s="115" t="s">
        <v>165</v>
      </c>
      <c r="D20" s="130">
        <v>43593</v>
      </c>
      <c r="E20" s="130">
        <v>43595</v>
      </c>
      <c r="F20" s="133">
        <v>708</v>
      </c>
      <c r="G20" s="23" t="s">
        <v>75</v>
      </c>
      <c r="H20" s="25" t="s">
        <v>73</v>
      </c>
      <c r="I20" s="103">
        <v>12</v>
      </c>
      <c r="J20" s="103">
        <v>10</v>
      </c>
      <c r="K20" s="103">
        <v>4</v>
      </c>
      <c r="L20" s="103">
        <v>0</v>
      </c>
      <c r="M20" s="103">
        <v>0</v>
      </c>
      <c r="N20" s="103">
        <v>0</v>
      </c>
      <c r="O20" s="103">
        <v>0</v>
      </c>
      <c r="P20" s="103">
        <v>0</v>
      </c>
      <c r="Q20" s="103">
        <v>0</v>
      </c>
      <c r="R20" s="103">
        <v>0</v>
      </c>
      <c r="S20" s="103">
        <v>0</v>
      </c>
      <c r="T20" s="103">
        <v>0</v>
      </c>
      <c r="U20" s="103">
        <v>0</v>
      </c>
      <c r="V20" s="103">
        <v>0</v>
      </c>
      <c r="W20" s="103">
        <v>0</v>
      </c>
    </row>
    <row r="21" spans="1:23" ht="21" customHeight="1" x14ac:dyDescent="0.2">
      <c r="A21" s="97"/>
      <c r="B21" s="114" t="s">
        <v>85</v>
      </c>
      <c r="C21" s="115" t="s">
        <v>166</v>
      </c>
      <c r="D21" s="130">
        <v>43595</v>
      </c>
      <c r="E21" s="130">
        <v>43599</v>
      </c>
      <c r="F21" s="128">
        <v>708626</v>
      </c>
      <c r="G21" s="23" t="s">
        <v>75</v>
      </c>
      <c r="H21" s="25" t="s">
        <v>73</v>
      </c>
      <c r="I21" s="103">
        <v>12</v>
      </c>
      <c r="J21" s="103">
        <v>12</v>
      </c>
      <c r="K21" s="103">
        <v>12</v>
      </c>
      <c r="L21" s="103">
        <v>4</v>
      </c>
      <c r="M21" s="103">
        <v>4</v>
      </c>
      <c r="N21" s="103">
        <v>0</v>
      </c>
      <c r="O21" s="103">
        <v>0</v>
      </c>
      <c r="P21" s="103">
        <v>0</v>
      </c>
      <c r="Q21" s="103">
        <v>0</v>
      </c>
      <c r="R21" s="103">
        <v>0</v>
      </c>
      <c r="S21" s="103">
        <v>0</v>
      </c>
      <c r="T21" s="103">
        <v>0</v>
      </c>
      <c r="U21" s="103">
        <v>0</v>
      </c>
      <c r="V21" s="103">
        <v>0</v>
      </c>
      <c r="W21" s="103">
        <v>0</v>
      </c>
    </row>
    <row r="22" spans="1:23" ht="24" customHeight="1" x14ac:dyDescent="0.2">
      <c r="A22" s="97"/>
      <c r="B22" s="114" t="s">
        <v>87</v>
      </c>
      <c r="C22" s="115" t="s">
        <v>90</v>
      </c>
      <c r="D22" s="130">
        <v>43598</v>
      </c>
      <c r="E22" s="130">
        <v>43599</v>
      </c>
      <c r="F22" s="135">
        <v>834</v>
      </c>
      <c r="G22" s="23" t="s">
        <v>91</v>
      </c>
      <c r="H22" s="25" t="s">
        <v>73</v>
      </c>
      <c r="I22" s="26">
        <v>6</v>
      </c>
      <c r="J22" s="26">
        <v>6</v>
      </c>
      <c r="K22" s="26">
        <v>6</v>
      </c>
      <c r="L22" s="26">
        <v>6</v>
      </c>
      <c r="M22" s="26">
        <v>2</v>
      </c>
      <c r="N22" s="26">
        <v>0</v>
      </c>
      <c r="O22" s="103">
        <v>0</v>
      </c>
      <c r="P22" s="103">
        <v>0</v>
      </c>
      <c r="Q22" s="103">
        <v>0</v>
      </c>
      <c r="R22" s="103">
        <v>0</v>
      </c>
      <c r="S22" s="103">
        <v>0</v>
      </c>
      <c r="T22" s="103">
        <v>0</v>
      </c>
      <c r="U22" s="103">
        <v>0</v>
      </c>
      <c r="V22" s="103">
        <v>0</v>
      </c>
      <c r="W22" s="103">
        <v>0</v>
      </c>
    </row>
    <row r="23" spans="1:23" ht="24" customHeight="1" x14ac:dyDescent="0.2">
      <c r="A23" s="97"/>
      <c r="B23" s="114" t="s">
        <v>89</v>
      </c>
      <c r="C23" s="115" t="s">
        <v>93</v>
      </c>
      <c r="D23" s="130">
        <v>43600</v>
      </c>
      <c r="E23" s="130">
        <v>43600</v>
      </c>
      <c r="F23" s="128">
        <v>708626</v>
      </c>
      <c r="G23" s="23" t="s">
        <v>94</v>
      </c>
      <c r="H23" s="25" t="s">
        <v>73</v>
      </c>
      <c r="I23" s="26">
        <v>6</v>
      </c>
      <c r="J23" s="26">
        <v>6</v>
      </c>
      <c r="K23" s="26">
        <v>6</v>
      </c>
      <c r="L23" s="26">
        <v>6</v>
      </c>
      <c r="M23" s="26">
        <v>6</v>
      </c>
      <c r="N23" s="26">
        <v>6</v>
      </c>
      <c r="O23" s="103">
        <v>0</v>
      </c>
      <c r="P23" s="103">
        <v>0</v>
      </c>
      <c r="Q23" s="103">
        <v>0</v>
      </c>
      <c r="R23" s="103">
        <v>0</v>
      </c>
      <c r="S23" s="103">
        <v>0</v>
      </c>
      <c r="T23" s="103">
        <v>0</v>
      </c>
      <c r="U23" s="103">
        <v>0</v>
      </c>
      <c r="V23" s="103">
        <v>0</v>
      </c>
      <c r="W23" s="103">
        <v>0</v>
      </c>
    </row>
    <row r="24" spans="1:23" ht="24" customHeight="1" x14ac:dyDescent="0.2">
      <c r="A24" s="114"/>
      <c r="B24" s="114"/>
      <c r="C24" s="114"/>
      <c r="D24" s="114"/>
      <c r="E24" s="114"/>
      <c r="F24" s="114"/>
      <c r="G24" s="114"/>
      <c r="H24" s="114"/>
      <c r="I24" s="114"/>
      <c r="J24" s="114"/>
      <c r="K24" s="26"/>
      <c r="L24" s="26"/>
      <c r="M24" s="28"/>
      <c r="N24" s="28"/>
      <c r="O24" s="28"/>
      <c r="P24" s="28"/>
      <c r="Q24" s="28"/>
      <c r="R24" s="28"/>
      <c r="S24" s="28"/>
      <c r="T24" s="28"/>
      <c r="U24" s="28"/>
      <c r="V24" s="28"/>
      <c r="W24" s="28"/>
    </row>
    <row r="25" spans="1:23" ht="24" customHeight="1" x14ac:dyDescent="0.2">
      <c r="A25" s="97"/>
      <c r="B25" s="114"/>
      <c r="D25" s="52"/>
      <c r="E25" s="52"/>
      <c r="F25" s="24"/>
      <c r="G25" s="23"/>
      <c r="H25" s="25"/>
      <c r="I25" s="26"/>
      <c r="J25" s="28"/>
      <c r="K25" s="28"/>
      <c r="L25" s="28"/>
      <c r="M25" s="28"/>
      <c r="N25" s="28"/>
      <c r="O25" s="28"/>
      <c r="P25" s="28"/>
      <c r="Q25" s="28"/>
      <c r="R25" s="28"/>
      <c r="S25" s="28"/>
      <c r="T25" s="28"/>
      <c r="U25" s="28"/>
      <c r="V25" s="28"/>
      <c r="W25" s="28"/>
    </row>
    <row r="26" spans="1:23" ht="24" customHeight="1" x14ac:dyDescent="0.2">
      <c r="A26" s="97"/>
      <c r="B26" s="27"/>
      <c r="C26" s="29"/>
      <c r="D26" s="52"/>
      <c r="E26" s="52"/>
      <c r="F26" s="24"/>
      <c r="G26" s="23"/>
      <c r="H26" s="25"/>
      <c r="I26" s="26"/>
      <c r="J26" s="28"/>
      <c r="K26" s="28"/>
      <c r="L26" s="28"/>
      <c r="M26" s="28"/>
      <c r="N26" s="28"/>
      <c r="O26" s="28"/>
      <c r="P26" s="28"/>
      <c r="Q26" s="28"/>
      <c r="R26" s="28"/>
      <c r="S26" s="28"/>
      <c r="T26" s="28"/>
      <c r="U26" s="28"/>
      <c r="V26" s="28"/>
      <c r="W26" s="28"/>
    </row>
    <row r="27" spans="1:23" ht="29.25" customHeight="1" x14ac:dyDescent="0.2">
      <c r="A27" s="97"/>
      <c r="B27" s="27"/>
      <c r="C27" s="29" t="s">
        <v>30</v>
      </c>
      <c r="D27" s="52"/>
      <c r="E27" s="52"/>
      <c r="F27" s="24"/>
      <c r="G27" s="23"/>
      <c r="H27" s="25"/>
      <c r="I27" s="26"/>
      <c r="J27" s="28"/>
      <c r="K27" s="28"/>
      <c r="L27" s="28"/>
      <c r="M27" s="28"/>
      <c r="N27" s="28"/>
      <c r="O27" s="28"/>
      <c r="P27" s="28"/>
      <c r="Q27" s="28"/>
      <c r="R27" s="28"/>
      <c r="S27" s="28"/>
      <c r="T27" s="28"/>
      <c r="U27" s="28"/>
      <c r="V27" s="28"/>
      <c r="W27" s="28"/>
    </row>
    <row r="28" spans="1:23" ht="20.25" customHeight="1" x14ac:dyDescent="0.2">
      <c r="A28" s="97"/>
      <c r="B28" s="27"/>
      <c r="C28" s="29" t="s">
        <v>30</v>
      </c>
      <c r="D28" s="52"/>
      <c r="E28" s="52"/>
      <c r="F28" s="24"/>
      <c r="G28" s="23"/>
      <c r="H28" s="25"/>
      <c r="I28" s="26"/>
      <c r="J28" s="28"/>
      <c r="K28" s="28"/>
      <c r="L28" s="28"/>
      <c r="M28" s="28"/>
      <c r="N28" s="28"/>
      <c r="O28" s="28"/>
      <c r="P28" s="28"/>
      <c r="Q28" s="28"/>
      <c r="R28" s="28"/>
      <c r="S28" s="28"/>
      <c r="T28" s="28"/>
      <c r="U28" s="28"/>
      <c r="V28" s="28"/>
      <c r="W28" s="28"/>
    </row>
    <row r="29" spans="1:23" ht="20.25" customHeight="1" x14ac:dyDescent="0.2">
      <c r="A29" s="97"/>
      <c r="B29" s="27"/>
      <c r="C29" s="29"/>
      <c r="D29" s="52"/>
      <c r="E29" s="52"/>
      <c r="F29" s="24"/>
      <c r="G29" s="23"/>
      <c r="H29" s="25"/>
      <c r="I29" s="26"/>
      <c r="J29" s="28"/>
      <c r="K29" s="28"/>
      <c r="L29" s="28"/>
      <c r="M29" s="28"/>
      <c r="N29" s="28"/>
      <c r="O29" s="28"/>
      <c r="P29" s="28"/>
      <c r="Q29" s="28"/>
      <c r="R29" s="28"/>
      <c r="S29" s="28"/>
      <c r="T29" s="28"/>
      <c r="U29" s="28"/>
      <c r="V29" s="28"/>
      <c r="W29" s="28"/>
    </row>
    <row r="30" spans="1:23" ht="20.25" customHeight="1" x14ac:dyDescent="0.2">
      <c r="A30" s="97"/>
      <c r="B30" s="27"/>
      <c r="C30" s="29"/>
      <c r="D30" s="52"/>
      <c r="E30" s="52"/>
      <c r="F30" s="24"/>
      <c r="G30" s="23"/>
      <c r="H30" s="25"/>
      <c r="I30" s="26"/>
      <c r="J30" s="28"/>
      <c r="K30" s="28"/>
      <c r="L30" s="28"/>
      <c r="M30" s="28"/>
      <c r="N30" s="28"/>
      <c r="O30" s="28"/>
      <c r="P30" s="28"/>
      <c r="Q30" s="28"/>
      <c r="R30" s="28"/>
      <c r="S30" s="28"/>
      <c r="T30" s="28"/>
      <c r="U30" s="28"/>
      <c r="V30" s="28"/>
      <c r="W30" s="28"/>
    </row>
    <row r="31" spans="1:23" ht="20.25" customHeight="1" x14ac:dyDescent="0.2">
      <c r="A31" s="97"/>
      <c r="B31" s="27"/>
      <c r="C31" s="29"/>
      <c r="D31" s="52"/>
      <c r="E31" s="52"/>
      <c r="F31" s="24"/>
      <c r="G31" s="23"/>
      <c r="H31" s="25"/>
      <c r="I31" s="26"/>
      <c r="J31" s="28"/>
      <c r="K31" s="28"/>
      <c r="L31" s="28"/>
      <c r="M31" s="28"/>
      <c r="N31" s="28"/>
      <c r="O31" s="28"/>
      <c r="P31" s="28"/>
      <c r="Q31" s="28"/>
      <c r="R31" s="28"/>
      <c r="S31" s="28"/>
      <c r="T31" s="28"/>
      <c r="U31" s="28"/>
      <c r="V31" s="28"/>
      <c r="W31" s="28"/>
    </row>
    <row r="32" spans="1:23" ht="20.25" customHeight="1" x14ac:dyDescent="0.2">
      <c r="A32" s="97"/>
      <c r="B32" s="27"/>
      <c r="C32" s="29"/>
      <c r="D32" s="52"/>
      <c r="E32" s="52"/>
      <c r="F32" s="24"/>
      <c r="G32" s="23"/>
      <c r="H32" s="25"/>
      <c r="I32" s="26"/>
      <c r="J32" s="28"/>
      <c r="K32" s="28"/>
      <c r="L32" s="28"/>
      <c r="M32" s="28"/>
      <c r="N32" s="28"/>
      <c r="O32" s="28"/>
      <c r="P32" s="28"/>
      <c r="Q32" s="28"/>
      <c r="R32" s="28"/>
      <c r="S32" s="28"/>
      <c r="T32" s="28"/>
      <c r="U32" s="28"/>
      <c r="V32" s="28"/>
      <c r="W32" s="28"/>
    </row>
    <row r="33" spans="1:23" ht="14.25" customHeight="1" x14ac:dyDescent="0.2">
      <c r="A33" s="97"/>
      <c r="B33" s="27"/>
      <c r="C33" s="29" t="s">
        <v>30</v>
      </c>
      <c r="D33" s="52"/>
      <c r="E33" s="52"/>
      <c r="F33" s="24"/>
      <c r="G33" s="23"/>
      <c r="H33" s="25"/>
      <c r="I33" s="26"/>
      <c r="J33" s="28"/>
      <c r="K33" s="28"/>
      <c r="L33" s="28"/>
      <c r="M33" s="28"/>
      <c r="N33" s="28"/>
      <c r="O33" s="28"/>
      <c r="P33" s="28"/>
      <c r="Q33" s="28"/>
      <c r="R33" s="28"/>
      <c r="S33" s="28"/>
      <c r="T33" s="28"/>
      <c r="U33" s="28"/>
      <c r="V33" s="28"/>
      <c r="W33" s="28"/>
    </row>
    <row r="34" spans="1:23" ht="21" customHeight="1" x14ac:dyDescent="0.2">
      <c r="A34" s="97"/>
      <c r="B34" s="27"/>
      <c r="C34" s="29" t="s">
        <v>30</v>
      </c>
      <c r="D34" s="52"/>
      <c r="E34" s="52"/>
      <c r="F34" s="24"/>
      <c r="G34" s="23"/>
      <c r="H34" s="25"/>
      <c r="I34" s="26"/>
      <c r="J34" s="28"/>
      <c r="K34" s="28"/>
      <c r="L34" s="28"/>
      <c r="M34" s="28"/>
      <c r="N34" s="28"/>
      <c r="O34" s="28"/>
      <c r="P34" s="28"/>
      <c r="Q34" s="28"/>
      <c r="R34" s="28"/>
      <c r="S34" s="28"/>
      <c r="T34" s="28"/>
      <c r="U34" s="28"/>
      <c r="V34" s="28"/>
      <c r="W34" s="28"/>
    </row>
    <row r="35" spans="1:23" ht="21.75" customHeight="1" x14ac:dyDescent="0.2">
      <c r="A35" s="97"/>
      <c r="B35" s="27"/>
      <c r="C35" s="29" t="s">
        <v>30</v>
      </c>
      <c r="D35" s="52"/>
      <c r="E35" s="52"/>
      <c r="F35" s="24"/>
      <c r="G35" s="23"/>
      <c r="H35" s="25"/>
      <c r="I35" s="26"/>
      <c r="J35" s="28"/>
      <c r="K35" s="28"/>
      <c r="L35" s="28"/>
      <c r="M35" s="28"/>
      <c r="N35" s="28"/>
      <c r="O35" s="28"/>
      <c r="P35" s="28"/>
      <c r="Q35" s="28"/>
      <c r="R35" s="28"/>
      <c r="S35" s="28"/>
      <c r="T35" s="28"/>
      <c r="U35" s="28"/>
      <c r="V35" s="28"/>
      <c r="W35" s="28"/>
    </row>
    <row r="36" spans="1:23" ht="21.75" customHeight="1" x14ac:dyDescent="0.2">
      <c r="A36" s="97"/>
      <c r="B36" s="27"/>
      <c r="C36" s="29"/>
      <c r="D36" s="52"/>
      <c r="E36" s="52"/>
      <c r="F36" s="24"/>
      <c r="G36" s="23"/>
      <c r="H36" s="25"/>
      <c r="I36" s="26"/>
      <c r="J36" s="28"/>
      <c r="K36" s="28"/>
      <c r="L36" s="28"/>
      <c r="M36" s="28"/>
      <c r="N36" s="28"/>
      <c r="O36" s="28"/>
      <c r="P36" s="28"/>
      <c r="Q36" s="28"/>
      <c r="R36" s="28"/>
      <c r="S36" s="28"/>
      <c r="T36" s="28"/>
      <c r="U36" s="28"/>
      <c r="V36" s="28"/>
      <c r="W36" s="28"/>
    </row>
    <row r="37" spans="1:23" ht="21.75" customHeight="1" x14ac:dyDescent="0.2">
      <c r="A37" s="97"/>
      <c r="B37" s="27"/>
      <c r="C37" s="29"/>
      <c r="D37" s="52"/>
      <c r="E37" s="52"/>
      <c r="F37" s="24"/>
      <c r="G37" s="23"/>
      <c r="H37" s="25"/>
      <c r="I37" s="26"/>
      <c r="J37" s="28"/>
      <c r="K37" s="28"/>
      <c r="L37" s="28"/>
      <c r="M37" s="28"/>
      <c r="N37" s="28"/>
      <c r="O37" s="28"/>
      <c r="P37" s="28"/>
      <c r="Q37" s="28"/>
      <c r="R37" s="28"/>
      <c r="S37" s="28"/>
      <c r="T37" s="28"/>
      <c r="U37" s="28"/>
      <c r="V37" s="28"/>
      <c r="W37" s="28"/>
    </row>
    <row r="38" spans="1:23" ht="21.75" customHeight="1" x14ac:dyDescent="0.2">
      <c r="A38" s="97"/>
      <c r="B38" s="27"/>
      <c r="C38" s="29"/>
      <c r="D38" s="52"/>
      <c r="E38" s="52"/>
      <c r="F38" s="24"/>
      <c r="G38" s="23"/>
      <c r="H38" s="25"/>
      <c r="I38" s="26"/>
      <c r="J38" s="28"/>
      <c r="K38" s="28"/>
      <c r="L38" s="28"/>
      <c r="M38" s="28"/>
      <c r="N38" s="28"/>
      <c r="O38" s="28"/>
      <c r="P38" s="28"/>
      <c r="Q38" s="28"/>
      <c r="R38" s="28"/>
      <c r="S38" s="28"/>
      <c r="T38" s="28"/>
      <c r="U38" s="28"/>
      <c r="V38" s="28"/>
      <c r="W38" s="28"/>
    </row>
    <row r="39" spans="1:23" ht="21.75" customHeight="1" x14ac:dyDescent="0.2">
      <c r="A39" s="97"/>
      <c r="B39" s="27"/>
      <c r="C39" s="29"/>
      <c r="D39" s="52"/>
      <c r="E39" s="52"/>
      <c r="F39" s="24"/>
      <c r="G39" s="23"/>
      <c r="H39" s="25"/>
      <c r="I39" s="26"/>
      <c r="J39" s="28"/>
      <c r="K39" s="28"/>
      <c r="L39" s="28"/>
      <c r="M39" s="28"/>
      <c r="N39" s="28"/>
      <c r="O39" s="28"/>
      <c r="P39" s="28"/>
      <c r="Q39" s="28"/>
      <c r="R39" s="28"/>
      <c r="S39" s="28"/>
      <c r="T39" s="28"/>
      <c r="U39" s="28"/>
      <c r="V39" s="28"/>
      <c r="W39" s="28"/>
    </row>
    <row r="40" spans="1:23" ht="21" customHeight="1" x14ac:dyDescent="0.2">
      <c r="A40" s="97"/>
      <c r="B40" s="27"/>
      <c r="C40" s="29" t="s">
        <v>30</v>
      </c>
      <c r="D40" s="52"/>
      <c r="E40" s="52"/>
      <c r="F40" s="24"/>
      <c r="G40" s="23"/>
      <c r="H40" s="25"/>
      <c r="I40" s="26"/>
      <c r="J40" s="28"/>
      <c r="K40" s="28"/>
      <c r="L40" s="28"/>
      <c r="M40" s="28"/>
      <c r="N40" s="28"/>
      <c r="O40" s="28"/>
      <c r="P40" s="28"/>
      <c r="Q40" s="28"/>
      <c r="R40" s="28"/>
      <c r="S40" s="28"/>
      <c r="T40" s="28"/>
      <c r="U40" s="28"/>
      <c r="V40" s="28"/>
      <c r="W40" s="28"/>
    </row>
    <row r="41" spans="1:23" ht="19.5" customHeight="1" x14ac:dyDescent="0.2">
      <c r="A41" s="97"/>
      <c r="B41" s="27"/>
      <c r="C41" s="29" t="s">
        <v>30</v>
      </c>
      <c r="D41" s="52"/>
      <c r="E41" s="52"/>
      <c r="F41" s="24"/>
      <c r="G41" s="23"/>
      <c r="H41" s="25"/>
      <c r="I41" s="26"/>
      <c r="J41" s="28"/>
      <c r="K41" s="28"/>
      <c r="L41" s="28"/>
      <c r="M41" s="28"/>
      <c r="N41" s="28"/>
      <c r="O41" s="28"/>
      <c r="P41" s="28"/>
      <c r="Q41" s="28"/>
      <c r="R41" s="28"/>
      <c r="S41" s="28"/>
      <c r="T41" s="28"/>
      <c r="U41" s="28"/>
      <c r="V41" s="28"/>
      <c r="W41" s="28"/>
    </row>
    <row r="42" spans="1:23" ht="17.25" customHeight="1" x14ac:dyDescent="0.2">
      <c r="A42" s="97"/>
      <c r="B42" s="27"/>
      <c r="C42" s="29" t="s">
        <v>30</v>
      </c>
      <c r="D42" s="52"/>
      <c r="E42" s="52"/>
      <c r="F42" s="24"/>
      <c r="G42" s="23"/>
      <c r="H42" s="25"/>
      <c r="I42" s="26"/>
      <c r="J42" s="28"/>
      <c r="K42" s="28"/>
      <c r="L42" s="28"/>
      <c r="M42" s="28"/>
      <c r="N42" s="28"/>
      <c r="O42" s="28"/>
      <c r="P42" s="28"/>
      <c r="Q42" s="28"/>
      <c r="R42" s="28"/>
      <c r="S42" s="28"/>
      <c r="T42" s="28"/>
      <c r="U42" s="28"/>
      <c r="V42" s="28"/>
      <c r="W42" s="28"/>
    </row>
    <row r="43" spans="1:23" ht="17.25" customHeight="1" x14ac:dyDescent="0.2">
      <c r="A43" s="97"/>
      <c r="B43" s="27"/>
      <c r="C43" s="29"/>
      <c r="D43" s="52"/>
      <c r="E43" s="52"/>
      <c r="F43" s="24"/>
      <c r="G43" s="23"/>
      <c r="H43" s="25"/>
      <c r="I43" s="26"/>
      <c r="J43" s="28"/>
      <c r="K43" s="28"/>
      <c r="L43" s="28"/>
      <c r="M43" s="28"/>
      <c r="N43" s="28"/>
      <c r="O43" s="28"/>
      <c r="P43" s="28"/>
      <c r="Q43" s="28"/>
      <c r="R43" s="28"/>
      <c r="S43" s="28"/>
      <c r="T43" s="28"/>
      <c r="U43" s="28"/>
      <c r="V43" s="28"/>
      <c r="W43" s="28"/>
    </row>
    <row r="44" spans="1:23" ht="17.25" customHeight="1" x14ac:dyDescent="0.2">
      <c r="A44" s="97"/>
      <c r="B44" s="27"/>
      <c r="C44" s="29"/>
      <c r="D44" s="52"/>
      <c r="E44" s="52"/>
      <c r="F44" s="24"/>
      <c r="G44" s="23"/>
      <c r="H44" s="25"/>
      <c r="I44" s="26"/>
      <c r="J44" s="28"/>
      <c r="K44" s="28"/>
      <c r="L44" s="28"/>
      <c r="M44" s="28"/>
      <c r="N44" s="28"/>
      <c r="O44" s="28"/>
      <c r="P44" s="28"/>
      <c r="Q44" s="28"/>
      <c r="R44" s="28"/>
      <c r="S44" s="28"/>
      <c r="T44" s="28"/>
      <c r="U44" s="28"/>
      <c r="V44" s="28"/>
      <c r="W44" s="28"/>
    </row>
    <row r="45" spans="1:23" ht="17.25" customHeight="1" x14ac:dyDescent="0.2">
      <c r="A45" s="97"/>
      <c r="B45" s="27"/>
      <c r="C45" s="29"/>
      <c r="D45" s="52"/>
      <c r="E45" s="52"/>
      <c r="F45" s="24"/>
      <c r="G45" s="23"/>
      <c r="H45" s="25"/>
      <c r="I45" s="26"/>
      <c r="J45" s="28"/>
      <c r="K45" s="28"/>
      <c r="L45" s="28"/>
      <c r="M45" s="28"/>
      <c r="N45" s="28"/>
      <c r="O45" s="28"/>
      <c r="P45" s="28"/>
      <c r="Q45" s="28"/>
      <c r="R45" s="28"/>
      <c r="S45" s="28"/>
      <c r="T45" s="28"/>
      <c r="U45" s="28"/>
      <c r="V45" s="28"/>
      <c r="W45" s="28"/>
    </row>
    <row r="46" spans="1:23" ht="17.25" customHeight="1" x14ac:dyDescent="0.2">
      <c r="A46" s="97"/>
      <c r="B46" s="27"/>
      <c r="C46" s="29"/>
      <c r="D46" s="52"/>
      <c r="E46" s="52"/>
      <c r="F46" s="24"/>
      <c r="G46" s="23"/>
      <c r="H46" s="25"/>
      <c r="I46" s="26"/>
      <c r="J46" s="28"/>
      <c r="K46" s="28"/>
      <c r="L46" s="28"/>
      <c r="M46" s="28"/>
      <c r="N46" s="28"/>
      <c r="O46" s="28"/>
      <c r="P46" s="28"/>
      <c r="Q46" s="28"/>
      <c r="R46" s="28"/>
      <c r="S46" s="28"/>
      <c r="T46" s="28"/>
      <c r="U46" s="28"/>
      <c r="V46" s="28"/>
      <c r="W46" s="28"/>
    </row>
    <row r="47" spans="1:23" ht="15.75" customHeight="1" x14ac:dyDescent="0.2">
      <c r="A47" s="97"/>
      <c r="B47" s="27"/>
      <c r="C47" s="29" t="s">
        <v>30</v>
      </c>
      <c r="D47" s="52"/>
      <c r="E47" s="52"/>
      <c r="F47" s="24"/>
      <c r="G47" s="23"/>
      <c r="H47" s="25"/>
      <c r="I47" s="26"/>
      <c r="J47" s="28"/>
      <c r="K47" s="28"/>
      <c r="L47" s="28"/>
      <c r="M47" s="28"/>
      <c r="N47" s="28"/>
      <c r="O47" s="28"/>
      <c r="P47" s="28"/>
      <c r="Q47" s="28"/>
      <c r="R47" s="28"/>
      <c r="S47" s="28"/>
      <c r="T47" s="28"/>
      <c r="U47" s="28"/>
      <c r="V47" s="28"/>
      <c r="W47" s="28"/>
    </row>
    <row r="48" spans="1:23" ht="18.75" customHeight="1" x14ac:dyDescent="0.2">
      <c r="A48" s="97"/>
      <c r="B48" s="27"/>
      <c r="C48" s="29" t="s">
        <v>30</v>
      </c>
      <c r="D48" s="52"/>
      <c r="E48" s="52"/>
      <c r="F48" s="24"/>
      <c r="G48" s="23"/>
      <c r="H48" s="25"/>
      <c r="I48" s="26"/>
      <c r="J48" s="28"/>
      <c r="K48" s="28"/>
      <c r="L48" s="28"/>
      <c r="M48" s="28"/>
      <c r="N48" s="28"/>
      <c r="O48" s="28"/>
      <c r="P48" s="28"/>
      <c r="Q48" s="28"/>
      <c r="R48" s="28"/>
      <c r="S48" s="28"/>
      <c r="T48" s="28"/>
      <c r="U48" s="28"/>
      <c r="V48" s="28"/>
      <c r="W48" s="28"/>
    </row>
    <row r="49" spans="1:23" ht="19.5" customHeight="1" x14ac:dyDescent="0.2">
      <c r="A49" s="97"/>
      <c r="B49" s="27"/>
      <c r="C49" s="29" t="s">
        <v>30</v>
      </c>
      <c r="D49" s="52"/>
      <c r="E49" s="52"/>
      <c r="F49" s="24"/>
      <c r="G49" s="23"/>
      <c r="H49" s="25"/>
      <c r="I49" s="26"/>
      <c r="J49" s="28"/>
      <c r="K49" s="28"/>
      <c r="L49" s="28"/>
      <c r="M49" s="28"/>
      <c r="N49" s="28"/>
      <c r="O49" s="28"/>
      <c r="P49" s="28"/>
      <c r="Q49" s="28"/>
      <c r="R49" s="28"/>
      <c r="S49" s="28"/>
      <c r="T49" s="28"/>
      <c r="U49" s="28"/>
      <c r="V49" s="28"/>
      <c r="W49" s="28"/>
    </row>
    <row r="50" spans="1:23" ht="19.5" customHeight="1" x14ac:dyDescent="0.2">
      <c r="A50" s="97"/>
      <c r="B50" s="27"/>
      <c r="C50" s="29"/>
      <c r="D50" s="52"/>
      <c r="E50" s="52"/>
      <c r="F50" s="24"/>
      <c r="G50" s="23"/>
      <c r="H50" s="25"/>
      <c r="I50" s="26"/>
      <c r="J50" s="28"/>
      <c r="K50" s="28"/>
      <c r="L50" s="28"/>
      <c r="M50" s="28"/>
      <c r="N50" s="28"/>
      <c r="O50" s="28"/>
      <c r="P50" s="28"/>
      <c r="Q50" s="28"/>
      <c r="R50" s="28"/>
      <c r="S50" s="28"/>
      <c r="T50" s="28"/>
      <c r="U50" s="28"/>
      <c r="V50" s="28"/>
      <c r="W50" s="28"/>
    </row>
    <row r="51" spans="1:23" ht="19.5" customHeight="1" x14ac:dyDescent="0.2">
      <c r="A51" s="97"/>
      <c r="B51" s="27"/>
      <c r="C51" s="29"/>
      <c r="D51" s="52"/>
      <c r="E51" s="52"/>
      <c r="F51" s="24"/>
      <c r="G51" s="23"/>
      <c r="H51" s="25"/>
      <c r="I51" s="26"/>
      <c r="J51" s="28"/>
      <c r="K51" s="28"/>
      <c r="L51" s="28"/>
      <c r="M51" s="28"/>
      <c r="N51" s="28"/>
      <c r="O51" s="28"/>
      <c r="P51" s="28"/>
      <c r="Q51" s="28"/>
      <c r="R51" s="28"/>
      <c r="S51" s="28"/>
      <c r="T51" s="28"/>
      <c r="U51" s="28"/>
      <c r="V51" s="28"/>
      <c r="W51" s="28"/>
    </row>
    <row r="52" spans="1:23" ht="19.5" customHeight="1" x14ac:dyDescent="0.2">
      <c r="A52" s="97"/>
      <c r="B52" s="27"/>
      <c r="C52" s="29"/>
      <c r="D52" s="52"/>
      <c r="E52" s="52"/>
      <c r="F52" s="24"/>
      <c r="G52" s="23"/>
      <c r="H52" s="25"/>
      <c r="I52" s="26"/>
      <c r="J52" s="28"/>
      <c r="K52" s="28"/>
      <c r="L52" s="28"/>
      <c r="M52" s="28"/>
      <c r="N52" s="28"/>
      <c r="O52" s="28"/>
      <c r="P52" s="28"/>
      <c r="Q52" s="28"/>
      <c r="R52" s="28"/>
      <c r="S52" s="28"/>
      <c r="T52" s="28"/>
      <c r="U52" s="28"/>
      <c r="V52" s="28"/>
      <c r="W52" s="28"/>
    </row>
    <row r="53" spans="1:23" ht="19.5" customHeight="1" x14ac:dyDescent="0.2">
      <c r="A53" s="97"/>
      <c r="B53" s="27"/>
      <c r="C53" s="29"/>
      <c r="D53" s="52"/>
      <c r="E53" s="52"/>
      <c r="F53" s="24"/>
      <c r="G53" s="23"/>
      <c r="H53" s="25"/>
      <c r="I53" s="26"/>
      <c r="J53" s="28"/>
      <c r="K53" s="28"/>
      <c r="L53" s="28"/>
      <c r="M53" s="28"/>
      <c r="N53" s="28"/>
      <c r="O53" s="28"/>
      <c r="P53" s="28"/>
      <c r="Q53" s="28"/>
      <c r="R53" s="28"/>
      <c r="S53" s="28"/>
      <c r="T53" s="28"/>
      <c r="U53" s="28"/>
      <c r="V53" s="28"/>
      <c r="W53" s="28"/>
    </row>
    <row r="54" spans="1:23" ht="20.25" customHeight="1" x14ac:dyDescent="0.2">
      <c r="A54" s="97"/>
      <c r="B54" s="27"/>
      <c r="C54" s="29" t="s">
        <v>30</v>
      </c>
      <c r="D54" s="52"/>
      <c r="E54" s="52"/>
      <c r="F54" s="24"/>
      <c r="G54" s="23"/>
      <c r="H54" s="25"/>
      <c r="I54" s="26"/>
      <c r="J54" s="28"/>
      <c r="K54" s="28"/>
      <c r="L54" s="28"/>
      <c r="M54" s="28"/>
      <c r="N54" s="28"/>
      <c r="O54" s="28"/>
      <c r="P54" s="28"/>
      <c r="Q54" s="28"/>
      <c r="R54" s="28"/>
      <c r="S54" s="28"/>
      <c r="T54" s="28"/>
      <c r="U54" s="28"/>
      <c r="V54" s="28"/>
      <c r="W54" s="28"/>
    </row>
    <row r="55" spans="1:23" ht="18" customHeight="1" x14ac:dyDescent="0.2">
      <c r="A55" s="97"/>
      <c r="B55" s="27"/>
      <c r="C55" s="29" t="s">
        <v>30</v>
      </c>
      <c r="D55" s="52"/>
      <c r="E55" s="52"/>
      <c r="F55" s="24"/>
      <c r="G55" s="23"/>
      <c r="H55" s="25"/>
      <c r="I55" s="26"/>
      <c r="J55" s="28"/>
      <c r="K55" s="28"/>
      <c r="L55" s="28"/>
      <c r="M55" s="28"/>
      <c r="N55" s="28"/>
      <c r="O55" s="28"/>
      <c r="P55" s="28"/>
      <c r="Q55" s="28"/>
      <c r="R55" s="28"/>
      <c r="S55" s="28"/>
      <c r="T55" s="28"/>
      <c r="U55" s="28"/>
      <c r="V55" s="28"/>
      <c r="W55" s="28"/>
    </row>
    <row r="56" spans="1:23" ht="17.25" customHeight="1" x14ac:dyDescent="0.2">
      <c r="A56" s="97"/>
      <c r="B56" s="27"/>
      <c r="C56" s="29" t="s">
        <v>30</v>
      </c>
      <c r="D56" s="52"/>
      <c r="E56" s="52"/>
      <c r="F56" s="24"/>
      <c r="G56" s="23"/>
      <c r="H56" s="25"/>
      <c r="I56" s="26"/>
      <c r="J56" s="28"/>
      <c r="K56" s="28"/>
      <c r="L56" s="28"/>
      <c r="M56" s="28"/>
      <c r="N56" s="28"/>
      <c r="O56" s="28"/>
      <c r="P56" s="28"/>
      <c r="Q56" s="28"/>
      <c r="R56" s="28"/>
      <c r="S56" s="28"/>
      <c r="T56" s="28"/>
      <c r="U56" s="28"/>
      <c r="V56" s="28"/>
      <c r="W56" s="28"/>
    </row>
    <row r="57" spans="1:23" ht="17.25" customHeight="1" x14ac:dyDescent="0.2">
      <c r="A57" s="97"/>
      <c r="B57" s="27"/>
      <c r="C57" s="29"/>
      <c r="D57" s="52"/>
      <c r="E57" s="52"/>
      <c r="F57" s="24"/>
      <c r="G57" s="23"/>
      <c r="H57" s="25"/>
      <c r="I57" s="26"/>
      <c r="J57" s="28"/>
      <c r="K57" s="28"/>
      <c r="L57" s="28"/>
      <c r="M57" s="28"/>
      <c r="N57" s="28"/>
      <c r="O57" s="28"/>
      <c r="P57" s="28"/>
      <c r="Q57" s="28"/>
      <c r="R57" s="28"/>
      <c r="S57" s="28"/>
      <c r="T57" s="28"/>
      <c r="U57" s="28"/>
      <c r="V57" s="28"/>
      <c r="W57" s="28"/>
    </row>
    <row r="58" spans="1:23" ht="17.25" customHeight="1" x14ac:dyDescent="0.2">
      <c r="A58" s="97"/>
      <c r="B58" s="27"/>
      <c r="C58" s="29"/>
      <c r="D58" s="52"/>
      <c r="E58" s="52"/>
      <c r="F58" s="24"/>
      <c r="G58" s="23"/>
      <c r="H58" s="25"/>
      <c r="I58" s="26"/>
      <c r="J58" s="28"/>
      <c r="K58" s="28"/>
      <c r="L58" s="28"/>
      <c r="M58" s="28"/>
      <c r="N58" s="28"/>
      <c r="O58" s="28"/>
      <c r="P58" s="28"/>
      <c r="Q58" s="28"/>
      <c r="R58" s="28"/>
      <c r="S58" s="28"/>
      <c r="T58" s="28"/>
      <c r="U58" s="28"/>
      <c r="V58" s="28"/>
      <c r="W58" s="28"/>
    </row>
    <row r="59" spans="1:23" ht="17.25" customHeight="1" x14ac:dyDescent="0.2">
      <c r="A59" s="97"/>
      <c r="B59" s="27"/>
      <c r="C59" s="29"/>
      <c r="D59" s="52"/>
      <c r="E59" s="52"/>
      <c r="F59" s="24"/>
      <c r="G59" s="23"/>
      <c r="H59" s="25"/>
      <c r="I59" s="26"/>
      <c r="J59" s="28"/>
      <c r="K59" s="28"/>
      <c r="L59" s="28"/>
      <c r="M59" s="28"/>
      <c r="N59" s="28"/>
      <c r="O59" s="28"/>
      <c r="P59" s="28"/>
      <c r="Q59" s="28"/>
      <c r="R59" s="28"/>
      <c r="S59" s="28"/>
      <c r="T59" s="28"/>
      <c r="U59" s="28"/>
      <c r="V59" s="28"/>
      <c r="W59" s="28"/>
    </row>
    <row r="60" spans="1:23" ht="17.25" customHeight="1" x14ac:dyDescent="0.2">
      <c r="A60" s="97"/>
      <c r="B60" s="27"/>
      <c r="C60" s="29"/>
      <c r="D60" s="52"/>
      <c r="E60" s="52"/>
      <c r="F60" s="24"/>
      <c r="G60" s="23"/>
      <c r="H60" s="25"/>
      <c r="I60" s="26"/>
      <c r="J60" s="28"/>
      <c r="K60" s="28"/>
      <c r="L60" s="28"/>
      <c r="M60" s="28"/>
      <c r="N60" s="28"/>
      <c r="O60" s="28"/>
      <c r="P60" s="28"/>
      <c r="Q60" s="28"/>
      <c r="R60" s="28"/>
      <c r="S60" s="28"/>
      <c r="T60" s="28"/>
      <c r="U60" s="28"/>
      <c r="V60" s="28"/>
      <c r="W60" s="28"/>
    </row>
    <row r="61" spans="1:23" ht="18.75" customHeight="1" x14ac:dyDescent="0.2">
      <c r="A61" s="97"/>
      <c r="B61" s="27"/>
      <c r="C61" s="29" t="s">
        <v>30</v>
      </c>
      <c r="D61" s="52"/>
      <c r="E61" s="52"/>
      <c r="F61" s="24"/>
      <c r="G61" s="23"/>
      <c r="H61" s="25"/>
      <c r="I61" s="26"/>
      <c r="J61" s="28"/>
      <c r="K61" s="28"/>
      <c r="L61" s="28"/>
      <c r="M61" s="28"/>
      <c r="N61" s="28"/>
      <c r="O61" s="28"/>
      <c r="P61" s="28"/>
      <c r="Q61" s="28"/>
      <c r="R61" s="28"/>
      <c r="S61" s="28"/>
      <c r="T61" s="28"/>
      <c r="U61" s="28"/>
      <c r="V61" s="28"/>
      <c r="W61" s="28"/>
    </row>
    <row r="62" spans="1:23" ht="18.75" customHeight="1" x14ac:dyDescent="0.2">
      <c r="A62" s="97"/>
      <c r="B62" s="27"/>
      <c r="C62" s="29" t="s">
        <v>30</v>
      </c>
      <c r="D62" s="52"/>
      <c r="E62" s="52"/>
      <c r="F62" s="24"/>
      <c r="G62" s="23"/>
      <c r="H62" s="25"/>
      <c r="I62" s="26"/>
      <c r="J62" s="28"/>
      <c r="K62" s="28"/>
      <c r="L62" s="28"/>
      <c r="M62" s="28"/>
      <c r="N62" s="28"/>
      <c r="O62" s="28"/>
      <c r="P62" s="28"/>
      <c r="Q62" s="28"/>
      <c r="R62" s="28"/>
      <c r="S62" s="28"/>
      <c r="T62" s="28"/>
      <c r="U62" s="28"/>
      <c r="V62" s="28"/>
      <c r="W62" s="28"/>
    </row>
    <row r="63" spans="1:23" ht="18.75" customHeight="1" x14ac:dyDescent="0.2">
      <c r="A63" s="97"/>
      <c r="B63" s="27"/>
      <c r="C63" s="29"/>
      <c r="D63" s="52"/>
      <c r="E63" s="52"/>
      <c r="F63" s="24"/>
      <c r="G63" s="23"/>
      <c r="H63" s="25"/>
      <c r="I63" s="26"/>
      <c r="J63" s="28"/>
      <c r="K63" s="28"/>
      <c r="L63" s="28"/>
      <c r="M63" s="28"/>
      <c r="N63" s="28"/>
      <c r="O63" s="28"/>
      <c r="P63" s="28"/>
      <c r="Q63" s="28"/>
      <c r="R63" s="28"/>
      <c r="S63" s="28"/>
      <c r="T63" s="28"/>
      <c r="U63" s="28"/>
      <c r="V63" s="28"/>
      <c r="W63" s="28"/>
    </row>
    <row r="64" spans="1:23" ht="18.75" customHeight="1" x14ac:dyDescent="0.2">
      <c r="A64" s="97"/>
      <c r="B64" s="27"/>
      <c r="C64" s="29"/>
      <c r="D64" s="52"/>
      <c r="E64" s="52"/>
      <c r="F64" s="24"/>
      <c r="G64" s="23"/>
      <c r="H64" s="25"/>
      <c r="I64" s="26"/>
      <c r="J64" s="28"/>
      <c r="K64" s="28"/>
      <c r="L64" s="28"/>
      <c r="M64" s="28"/>
      <c r="N64" s="28"/>
      <c r="O64" s="28"/>
      <c r="P64" s="28"/>
      <c r="Q64" s="28"/>
      <c r="R64" s="28"/>
      <c r="S64" s="28"/>
      <c r="T64" s="28"/>
      <c r="U64" s="28"/>
      <c r="V64" s="28"/>
      <c r="W64" s="28"/>
    </row>
    <row r="65" spans="1:23" ht="18.75" customHeight="1" x14ac:dyDescent="0.2">
      <c r="A65" s="97"/>
      <c r="B65" s="27"/>
      <c r="C65" s="29"/>
      <c r="D65" s="52"/>
      <c r="E65" s="52"/>
      <c r="F65" s="24"/>
      <c r="G65" s="23"/>
      <c r="H65" s="25"/>
      <c r="I65" s="26"/>
      <c r="J65" s="28"/>
      <c r="K65" s="28"/>
      <c r="L65" s="28"/>
      <c r="M65" s="28"/>
      <c r="N65" s="28"/>
      <c r="O65" s="28"/>
      <c r="P65" s="28"/>
      <c r="Q65" s="28"/>
      <c r="R65" s="28"/>
      <c r="S65" s="28"/>
      <c r="T65" s="28"/>
      <c r="U65" s="28"/>
      <c r="V65" s="28"/>
      <c r="W65" s="28"/>
    </row>
    <row r="66" spans="1:23" ht="18" customHeight="1" x14ac:dyDescent="0.2">
      <c r="A66" s="97"/>
      <c r="B66" s="27"/>
      <c r="C66" s="29" t="s">
        <v>30</v>
      </c>
      <c r="D66" s="52"/>
      <c r="E66" s="52"/>
      <c r="F66" s="24"/>
      <c r="G66" s="23"/>
      <c r="H66" s="25"/>
      <c r="I66" s="26"/>
      <c r="J66" s="28"/>
      <c r="K66" s="28"/>
      <c r="L66" s="28"/>
      <c r="M66" s="28"/>
      <c r="N66" s="28"/>
      <c r="O66" s="28"/>
      <c r="P66" s="28"/>
      <c r="Q66" s="28"/>
      <c r="R66" s="28"/>
      <c r="S66" s="28"/>
      <c r="T66" s="28"/>
      <c r="U66" s="28"/>
      <c r="V66" s="28"/>
      <c r="W66" s="28"/>
    </row>
    <row r="67" spans="1:23" ht="18" customHeight="1" x14ac:dyDescent="0.2">
      <c r="A67" s="97"/>
      <c r="B67" s="27"/>
      <c r="C67" s="29"/>
      <c r="D67" s="52"/>
      <c r="E67" s="52"/>
      <c r="F67" s="24"/>
      <c r="G67" s="23"/>
      <c r="H67" s="25"/>
      <c r="I67" s="26"/>
      <c r="J67" s="28"/>
      <c r="K67" s="28"/>
      <c r="L67" s="28"/>
      <c r="M67" s="28"/>
      <c r="N67" s="28"/>
      <c r="O67" s="28"/>
      <c r="P67" s="28"/>
      <c r="Q67" s="28"/>
      <c r="R67" s="28"/>
      <c r="S67" s="28"/>
      <c r="T67" s="28"/>
      <c r="U67" s="28"/>
      <c r="V67" s="28"/>
      <c r="W67" s="28"/>
    </row>
    <row r="68" spans="1:23" ht="24" customHeight="1" x14ac:dyDescent="0.2">
      <c r="A68" s="97"/>
      <c r="B68" s="27"/>
      <c r="C68" s="29" t="s">
        <v>30</v>
      </c>
      <c r="D68" s="52"/>
      <c r="E68" s="52"/>
      <c r="F68" s="24"/>
      <c r="G68" s="23"/>
      <c r="H68" s="25"/>
      <c r="I68" s="26"/>
      <c r="J68" s="28"/>
      <c r="K68" s="28"/>
      <c r="L68" s="28"/>
      <c r="M68" s="28"/>
      <c r="N68" s="28"/>
      <c r="O68" s="28"/>
      <c r="P68" s="28"/>
      <c r="Q68" s="28"/>
      <c r="R68" s="28"/>
      <c r="S68" s="28"/>
      <c r="T68" s="28"/>
      <c r="U68" s="28"/>
      <c r="V68" s="28"/>
      <c r="W68" s="28"/>
    </row>
    <row r="69" spans="1:23" ht="24" customHeight="1" x14ac:dyDescent="0.2">
      <c r="A69" s="30"/>
      <c r="B69" s="31"/>
      <c r="C69" s="32"/>
      <c r="D69" s="34"/>
      <c r="E69" s="34"/>
      <c r="F69" s="33"/>
      <c r="G69" s="33"/>
      <c r="H69" s="34"/>
      <c r="I69" s="35"/>
      <c r="J69" s="35"/>
      <c r="K69" s="35"/>
      <c r="L69" s="35"/>
    </row>
    <row r="71" spans="1:23" ht="53.25" customHeight="1" x14ac:dyDescent="0.2"/>
    <row r="72" spans="1:23" ht="42" customHeight="1" x14ac:dyDescent="0.2"/>
    <row r="73" spans="1:23" ht="42" customHeight="1" x14ac:dyDescent="0.2"/>
    <row r="74" spans="1:23" ht="21.75" customHeight="1" x14ac:dyDescent="0.2"/>
    <row r="75" spans="1:23" ht="18.75" customHeight="1" x14ac:dyDescent="0.2"/>
    <row r="76" spans="1:23" ht="21.75" customHeight="1" x14ac:dyDescent="0.2"/>
    <row r="77" spans="1:23" ht="18.75" customHeight="1" x14ac:dyDescent="0.2"/>
    <row r="78" spans="1:23" ht="18" customHeight="1" x14ac:dyDescent="0.2"/>
    <row r="79" spans="1:23" ht="21" customHeight="1" x14ac:dyDescent="0.2"/>
    <row r="80" spans="1:23"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sheetProtection password="E403" sheet="1" objects="1" scenarios="1" formatCells="0" formatRows="0" insertRows="0" deleteRows="0"/>
  <mergeCells count="9">
    <mergeCell ref="A4:W4"/>
    <mergeCell ref="H2:H3"/>
    <mergeCell ref="B2:B3"/>
    <mergeCell ref="C2:C3"/>
    <mergeCell ref="D2:D3"/>
    <mergeCell ref="E2:E3"/>
    <mergeCell ref="F2:F3"/>
    <mergeCell ref="G2:G3"/>
    <mergeCell ref="A2:A3"/>
  </mergeCells>
  <dataValidations count="9">
    <dataValidation type="decimal" allowBlank="1" showInputMessage="1" showErrorMessage="1" sqref="I25:I68 I5:I8">
      <formula1>0</formula1>
      <formula2>12</formula2>
    </dataValidation>
    <dataValidation type="decimal" operator="lessThanOrEqual" allowBlank="1" showInputMessage="1" showErrorMessage="1" sqref="J25:L69 M25:W68 J5:J9 K5:L8 L9 M5:Q9 R5:W24 I10:I20 J10:Q21">
      <formula1>H5</formula1>
    </dataValidation>
    <dataValidation type="list" allowBlank="1" showInputMessage="1" showErrorMessage="1" sqref="H106:H65535 H69">
      <formula1>Status</formula1>
    </dataValidation>
    <dataValidation type="list" allowBlank="1" showInputMessage="1" showErrorMessage="1" sqref="G69">
      <formula1>"Build, Unit Test, System Test, Coding, General , Integration"</formula1>
    </dataValidation>
    <dataValidation type="list" allowBlank="1" showInputMessage="1" showErrorMessage="1" sqref="G106:G65535">
      <formula1>Category</formula1>
    </dataValidation>
    <dataValidation type="list" allowBlank="1" showInputMessage="1" showErrorMessage="1" sqref="F106:F65535">
      <formula1>Team</formula1>
    </dataValidation>
    <dataValidation type="decimal" operator="lessThanOrEqual" allowBlank="1" showInputMessage="1" showErrorMessage="1" sqref="I9">
      <formula1>#REF!</formula1>
    </dataValidation>
    <dataValidation type="list" allowBlank="1" showInputMessage="1" showErrorMessage="1" sqref="E10:E20 G5:G23 G25:G68">
      <formula1>"Build, Coding, Design, Integration Test, Regression Test, System Test, Unit Test, Others"</formula1>
    </dataValidation>
    <dataValidation type="list" allowBlank="1" showInputMessage="1" showErrorMessage="1" sqref="F10:F20 H5:H23 H25:H68">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7"/>
  <sheetViews>
    <sheetView zoomScale="85" zoomScaleNormal="85" workbookViewId="0">
      <pane ySplit="1" topLeftCell="A2" activePane="bottomLeft" state="frozen"/>
      <selection activeCell="B3" sqref="B3"/>
      <selection pane="bottomLeft" activeCell="B3" sqref="B3"/>
    </sheetView>
  </sheetViews>
  <sheetFormatPr defaultRowHeight="12.75" x14ac:dyDescent="0.2"/>
  <cols>
    <col min="2" max="2" width="13.7109375" customWidth="1"/>
    <col min="3" max="3" width="41.5703125" customWidth="1"/>
    <col min="4" max="4" width="38.7109375" customWidth="1"/>
    <col min="5" max="5" width="33.42578125" customWidth="1"/>
  </cols>
  <sheetData>
    <row r="1" spans="1:7" ht="49.5" customHeight="1" x14ac:dyDescent="0.2">
      <c r="A1" s="45" t="s">
        <v>38</v>
      </c>
      <c r="B1" s="45" t="s">
        <v>29</v>
      </c>
      <c r="C1" s="45" t="s">
        <v>39</v>
      </c>
      <c r="D1" s="45" t="s">
        <v>40</v>
      </c>
      <c r="E1" s="18"/>
      <c r="F1" s="18"/>
      <c r="G1" s="18"/>
    </row>
    <row r="2" spans="1:7" ht="32.25" customHeight="1" x14ac:dyDescent="0.2">
      <c r="A2" s="107" t="s">
        <v>71</v>
      </c>
      <c r="B2" s="108" t="s">
        <v>79</v>
      </c>
      <c r="C2" s="144" t="s">
        <v>127</v>
      </c>
      <c r="D2" s="144" t="s">
        <v>190</v>
      </c>
    </row>
    <row r="3" spans="1:7" ht="51" customHeight="1" x14ac:dyDescent="0.2">
      <c r="A3" s="107" t="s">
        <v>71</v>
      </c>
      <c r="B3" s="108" t="s">
        <v>155</v>
      </c>
      <c r="C3" s="144" t="s">
        <v>192</v>
      </c>
      <c r="D3" s="144" t="s">
        <v>204</v>
      </c>
    </row>
    <row r="4" spans="1:7" ht="53.25" customHeight="1" x14ac:dyDescent="0.2">
      <c r="A4" s="107" t="s">
        <v>71</v>
      </c>
      <c r="B4" s="108" t="s">
        <v>126</v>
      </c>
      <c r="C4" s="143" t="s">
        <v>191</v>
      </c>
      <c r="D4" s="144" t="s">
        <v>154</v>
      </c>
    </row>
    <row r="5" spans="1:7" ht="66.75" customHeight="1" x14ac:dyDescent="0.2">
      <c r="A5" s="107" t="s">
        <v>71</v>
      </c>
      <c r="B5" s="109" t="s">
        <v>151</v>
      </c>
      <c r="C5" s="145" t="s">
        <v>193</v>
      </c>
      <c r="D5" s="144" t="s">
        <v>194</v>
      </c>
    </row>
    <row r="6" spans="1:7" ht="34.5" customHeight="1" x14ac:dyDescent="0.2">
      <c r="A6" s="107" t="s">
        <v>71</v>
      </c>
      <c r="B6" s="109" t="s">
        <v>159</v>
      </c>
      <c r="C6" s="144" t="s">
        <v>181</v>
      </c>
      <c r="D6" s="144" t="s">
        <v>182</v>
      </c>
    </row>
    <row r="7" spans="1:7" ht="47.25" customHeight="1" x14ac:dyDescent="0.2">
      <c r="A7" s="107" t="s">
        <v>71</v>
      </c>
      <c r="B7" s="109" t="s">
        <v>152</v>
      </c>
      <c r="C7" s="143" t="s">
        <v>195</v>
      </c>
      <c r="D7" s="144" t="s">
        <v>196</v>
      </c>
    </row>
    <row r="8" spans="1:7" ht="51.75" customHeight="1" x14ac:dyDescent="0.2">
      <c r="A8" s="107" t="s">
        <v>71</v>
      </c>
      <c r="B8" s="109" t="s">
        <v>80</v>
      </c>
      <c r="C8" s="143" t="s">
        <v>197</v>
      </c>
      <c r="D8" s="144" t="s">
        <v>183</v>
      </c>
    </row>
    <row r="9" spans="1:7" ht="49.5" customHeight="1" x14ac:dyDescent="0.2">
      <c r="A9" s="107" t="s">
        <v>71</v>
      </c>
      <c r="B9" s="109" t="s">
        <v>153</v>
      </c>
      <c r="C9" s="143" t="s">
        <v>198</v>
      </c>
      <c r="D9" s="144" t="s">
        <v>184</v>
      </c>
    </row>
    <row r="10" spans="1:7" ht="52.5" customHeight="1" x14ac:dyDescent="0.2">
      <c r="A10" s="107" t="s">
        <v>71</v>
      </c>
      <c r="B10" s="142">
        <v>43529</v>
      </c>
      <c r="C10" s="143" t="s">
        <v>199</v>
      </c>
      <c r="D10" s="144" t="s">
        <v>200</v>
      </c>
    </row>
    <row r="11" spans="1:7" ht="47.25" customHeight="1" x14ac:dyDescent="0.2">
      <c r="A11" s="107" t="s">
        <v>71</v>
      </c>
      <c r="B11" s="142">
        <v>43621</v>
      </c>
      <c r="C11" s="144" t="s">
        <v>201</v>
      </c>
      <c r="D11" s="144" t="s">
        <v>202</v>
      </c>
    </row>
    <row r="12" spans="1:7" ht="51" customHeight="1" x14ac:dyDescent="0.2">
      <c r="A12" s="107" t="s">
        <v>78</v>
      </c>
      <c r="B12" s="142">
        <v>43682</v>
      </c>
      <c r="C12" s="144" t="s">
        <v>206</v>
      </c>
      <c r="D12" s="144" t="s">
        <v>205</v>
      </c>
    </row>
    <row r="13" spans="1:7" ht="50.25" customHeight="1" x14ac:dyDescent="0.2">
      <c r="A13" s="107" t="s">
        <v>78</v>
      </c>
      <c r="B13" s="142">
        <v>43713</v>
      </c>
      <c r="C13" s="143" t="s">
        <v>207</v>
      </c>
      <c r="D13" s="144" t="s">
        <v>185</v>
      </c>
    </row>
    <row r="14" spans="1:7" ht="31.5" x14ac:dyDescent="0.2">
      <c r="A14" s="107" t="s">
        <v>78</v>
      </c>
      <c r="B14" s="142">
        <v>43743</v>
      </c>
      <c r="C14" s="144" t="s">
        <v>186</v>
      </c>
      <c r="D14" s="144" t="s">
        <v>187</v>
      </c>
    </row>
    <row r="15" spans="1:7" ht="47.25" x14ac:dyDescent="0.2">
      <c r="A15" s="107" t="s">
        <v>78</v>
      </c>
      <c r="B15" s="142" t="s">
        <v>156</v>
      </c>
      <c r="C15" s="144" t="s">
        <v>208</v>
      </c>
      <c r="D15" s="144" t="s">
        <v>209</v>
      </c>
    </row>
    <row r="16" spans="1:7" ht="31.5" x14ac:dyDescent="0.2">
      <c r="A16" s="107" t="s">
        <v>78</v>
      </c>
      <c r="B16" s="142" t="s">
        <v>157</v>
      </c>
      <c r="C16" s="144" t="s">
        <v>188</v>
      </c>
      <c r="D16" s="144" t="s">
        <v>189</v>
      </c>
    </row>
    <row r="17" spans="1:4" ht="47.25" x14ac:dyDescent="0.2">
      <c r="A17" s="107" t="s">
        <v>78</v>
      </c>
      <c r="B17" s="142" t="s">
        <v>158</v>
      </c>
      <c r="C17" s="144" t="s">
        <v>203</v>
      </c>
      <c r="D17" s="144" t="s">
        <v>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8"/>
  <sheetViews>
    <sheetView showGridLines="0" workbookViewId="0">
      <selection activeCell="A5" sqref="A5"/>
    </sheetView>
  </sheetViews>
  <sheetFormatPr defaultRowHeight="12.75" x14ac:dyDescent="0.2"/>
  <cols>
    <col min="1" max="1" width="6.85546875" style="1" customWidth="1"/>
    <col min="2" max="4" width="12.28515625" style="8" customWidth="1"/>
    <col min="5" max="5" width="20.28515625" style="1" customWidth="1"/>
    <col min="6" max="6" width="40.5703125" style="8" customWidth="1"/>
    <col min="7" max="7" width="27.28515625" style="9" customWidth="1"/>
    <col min="8" max="8" width="29.42578125" style="1" customWidth="1"/>
    <col min="9" max="9" width="18.140625" style="1" customWidth="1"/>
    <col min="10" max="10" width="9.140625" style="1" customWidth="1"/>
    <col min="11" max="16384" width="9.140625" style="1"/>
  </cols>
  <sheetData>
    <row r="1" spans="1:9" s="7" customFormat="1" ht="45.75" customHeight="1" x14ac:dyDescent="0.2">
      <c r="A1" s="47" t="s">
        <v>10</v>
      </c>
      <c r="B1" s="47" t="s">
        <v>18</v>
      </c>
      <c r="C1" s="47" t="s">
        <v>19</v>
      </c>
      <c r="D1" s="47" t="s">
        <v>37</v>
      </c>
      <c r="E1" s="47" t="s">
        <v>22</v>
      </c>
      <c r="F1" s="47" t="s">
        <v>17</v>
      </c>
      <c r="G1" s="47" t="s">
        <v>20</v>
      </c>
      <c r="H1" s="47" t="s">
        <v>21</v>
      </c>
      <c r="I1" s="47" t="s">
        <v>36</v>
      </c>
    </row>
    <row r="2" spans="1:9" s="14" customFormat="1" ht="45.75" customHeight="1" x14ac:dyDescent="0.2">
      <c r="A2" s="12">
        <v>1</v>
      </c>
      <c r="B2" s="12">
        <v>1</v>
      </c>
      <c r="C2" s="136">
        <v>43570</v>
      </c>
      <c r="D2" s="138">
        <v>43591</v>
      </c>
      <c r="E2" s="140" t="s">
        <v>132</v>
      </c>
      <c r="F2" s="141" t="s">
        <v>135</v>
      </c>
      <c r="G2" s="139" t="s">
        <v>133</v>
      </c>
      <c r="H2" s="141" t="s">
        <v>136</v>
      </c>
      <c r="I2" s="141" t="s">
        <v>134</v>
      </c>
    </row>
    <row r="3" spans="1:9" s="14" customFormat="1" ht="32.25" customHeight="1" x14ac:dyDescent="0.2">
      <c r="A3" s="139">
        <v>2</v>
      </c>
      <c r="B3" s="139">
        <v>1</v>
      </c>
      <c r="C3" s="138">
        <v>43570</v>
      </c>
      <c r="D3" s="138">
        <v>43591</v>
      </c>
      <c r="E3" s="140" t="s">
        <v>137</v>
      </c>
      <c r="F3" s="140" t="s">
        <v>139</v>
      </c>
      <c r="G3" s="140" t="s">
        <v>140</v>
      </c>
      <c r="H3" s="140" t="s">
        <v>138</v>
      </c>
      <c r="I3" s="140" t="s">
        <v>141</v>
      </c>
    </row>
    <row r="4" spans="1:9" s="14" customFormat="1" ht="55.5" customHeight="1" x14ac:dyDescent="0.2">
      <c r="A4" s="139">
        <v>3</v>
      </c>
      <c r="B4" s="139">
        <v>2</v>
      </c>
      <c r="C4" s="138">
        <v>43593</v>
      </c>
      <c r="D4" s="138">
        <v>43600</v>
      </c>
      <c r="E4" s="140" t="s">
        <v>218</v>
      </c>
      <c r="F4" s="137" t="s">
        <v>219</v>
      </c>
      <c r="G4" s="13" t="s">
        <v>220</v>
      </c>
      <c r="H4" s="137" t="s">
        <v>222</v>
      </c>
      <c r="I4" s="149" t="s">
        <v>221</v>
      </c>
    </row>
    <row r="5" spans="1:9" s="14" customFormat="1" ht="39" customHeight="1" x14ac:dyDescent="0.2">
      <c r="A5" s="139"/>
      <c r="B5" s="139"/>
      <c r="C5" s="138"/>
      <c r="D5" s="138"/>
      <c r="E5" s="137"/>
      <c r="F5" s="137"/>
      <c r="G5" s="137"/>
      <c r="H5" s="137"/>
      <c r="I5" s="137"/>
    </row>
    <row r="6" spans="1:9" s="14" customFormat="1" ht="28.5" customHeight="1" x14ac:dyDescent="0.2">
      <c r="A6" s="137"/>
      <c r="B6" s="137"/>
      <c r="C6" s="137"/>
      <c r="D6" s="137"/>
      <c r="E6" s="137"/>
      <c r="F6" s="137"/>
      <c r="G6" s="137"/>
      <c r="H6" s="137"/>
      <c r="I6" s="137"/>
    </row>
    <row r="7" spans="1:9" s="14" customFormat="1" ht="27" customHeight="1" x14ac:dyDescent="0.2">
      <c r="A7" s="137"/>
      <c r="B7" s="137"/>
      <c r="C7" s="137"/>
      <c r="D7" s="137"/>
      <c r="E7" s="137"/>
      <c r="F7" s="137"/>
      <c r="G7" s="137"/>
      <c r="H7" s="137"/>
      <c r="I7" s="137"/>
    </row>
    <row r="8" spans="1:9" s="14" customFormat="1" ht="24.75" customHeight="1" x14ac:dyDescent="0.2">
      <c r="A8" s="137"/>
      <c r="B8" s="137"/>
      <c r="C8" s="137"/>
      <c r="D8" s="137"/>
      <c r="E8" s="137"/>
      <c r="F8" s="137"/>
      <c r="G8" s="137"/>
      <c r="H8" s="137"/>
      <c r="I8" s="137"/>
    </row>
  </sheetData>
  <pageMargins left="0.7" right="0.7" top="0.75" bottom="0.75" header="0.3" footer="0.3"/>
  <pageSetup orientation="portrait" horizont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7"/>
  <sheetViews>
    <sheetView tabSelected="1" workbookViewId="0">
      <selection activeCell="C5" sqref="C5"/>
    </sheetView>
  </sheetViews>
  <sheetFormatPr defaultRowHeight="12.75" x14ac:dyDescent="0.2"/>
  <cols>
    <col min="3" max="3" width="59.28515625" customWidth="1"/>
  </cols>
  <sheetData>
    <row r="1" spans="1:3" ht="40.5" customHeight="1" x14ac:dyDescent="0.2">
      <c r="A1" s="46" t="s">
        <v>27</v>
      </c>
      <c r="B1" s="48" t="s">
        <v>1</v>
      </c>
      <c r="C1" s="49" t="s">
        <v>41</v>
      </c>
    </row>
    <row r="2" spans="1:3" ht="28.5" customHeight="1" x14ac:dyDescent="0.2">
      <c r="A2" s="147">
        <v>1</v>
      </c>
      <c r="B2" s="147" t="s">
        <v>210</v>
      </c>
      <c r="C2" s="148" t="s">
        <v>214</v>
      </c>
    </row>
    <row r="3" spans="1:3" ht="28.5" customHeight="1" x14ac:dyDescent="0.2">
      <c r="A3" s="147">
        <v>2</v>
      </c>
      <c r="B3" s="147" t="s">
        <v>211</v>
      </c>
      <c r="C3" s="148" t="s">
        <v>215</v>
      </c>
    </row>
    <row r="4" spans="1:3" ht="15.75" customHeight="1" x14ac:dyDescent="0.2">
      <c r="A4" s="147">
        <v>2</v>
      </c>
      <c r="B4" s="147" t="s">
        <v>212</v>
      </c>
      <c r="C4" s="146" t="s">
        <v>216</v>
      </c>
    </row>
    <row r="5" spans="1:3" ht="15.75" customHeight="1" x14ac:dyDescent="0.2">
      <c r="A5" s="147">
        <v>2</v>
      </c>
      <c r="B5" s="147" t="s">
        <v>213</v>
      </c>
      <c r="C5" s="146" t="s">
        <v>217</v>
      </c>
    </row>
    <row r="6" spans="1:3" x14ac:dyDescent="0.2">
      <c r="A6" s="147"/>
      <c r="B6" s="147"/>
      <c r="C6" s="20"/>
    </row>
    <row r="7" spans="1:3" x14ac:dyDescent="0.2">
      <c r="A7" s="20"/>
      <c r="B7" s="20"/>
      <c r="C7" s="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D3EBF235-C281-4D50-8677-BD9E6678A70E}">
  <ds:schemaRefs>
    <ds:schemaRef ds:uri="http://purl.org/dc/terms/"/>
    <ds:schemaRef ds:uri="http://schemas.openxmlformats.org/package/2006/metadata/core-properties"/>
    <ds:schemaRef ds:uri="http://schemas.microsoft.com/office/2006/documentManagement/types"/>
    <ds:schemaRef ds:uri="http://www.w3.org/XML/1998/namespace"/>
    <ds:schemaRef ds:uri="http://purl.org/dc/elements/1.1/"/>
    <ds:schemaRef ds:uri="http://purl.org/dc/dcmitype/"/>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Product Backlog</vt:lpstr>
      <vt:lpstr>Reference Data</vt:lpstr>
      <vt:lpstr>Capacity Planning</vt:lpstr>
      <vt:lpstr>Sprint I Backlog</vt:lpstr>
      <vt:lpstr>Sprint II Backlog</vt:lpstr>
      <vt:lpstr>Stand up Meeting</vt:lpstr>
      <vt:lpstr>Retrospection</vt:lpstr>
      <vt:lpstr>Product Backlog Grooming</vt:lpstr>
    </vt:vector>
  </TitlesOfParts>
  <Company>Infosys (ETA)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Shubham .</cp:lastModifiedBy>
  <dcterms:created xsi:type="dcterms:W3CDTF">1996-10-14T23:33:28Z</dcterms:created>
  <dcterms:modified xsi:type="dcterms:W3CDTF">2019-05-15T13:30:26Z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